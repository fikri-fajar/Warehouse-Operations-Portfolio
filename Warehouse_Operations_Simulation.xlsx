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pgrade skill\1. Excel - Data Analytics\Project\Warehouse Operations Portfolio\"/>
    </mc:Choice>
  </mc:AlternateContent>
  <xr:revisionPtr revIDLastSave="0" documentId="13_ncr:1_{8F62A2BA-0085-4326-B993-572E475EBDE7}" xr6:coauthVersionLast="47" xr6:coauthVersionMax="47" xr10:uidLastSave="{00000000-0000-0000-0000-000000000000}"/>
  <bookViews>
    <workbookView xWindow="-120" yWindow="-120" windowWidth="21840" windowHeight="13140" tabRatio="500" firstSheet="1" activeTab="3" xr2:uid="{00000000-000D-0000-FFFF-FFFF00000000}"/>
  </bookViews>
  <sheets>
    <sheet name="01_Master_Material" sheetId="1" r:id="rId1"/>
    <sheet name="02_Master_Supplier" sheetId="2" r:id="rId2"/>
    <sheet name="03_Master_Location" sheetId="3" r:id="rId3"/>
    <sheet name="04_Purchase_Ord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4" l="1"/>
  <c r="R13" i="4" s="1"/>
  <c r="M13" i="4"/>
  <c r="N13" i="4" s="1"/>
  <c r="O13" i="4" s="1"/>
  <c r="L13" i="4"/>
  <c r="K13" i="4"/>
  <c r="H13" i="4"/>
  <c r="G13" i="4"/>
  <c r="E13" i="4"/>
  <c r="Q12" i="4"/>
  <c r="R12" i="4" s="1"/>
  <c r="L12" i="4"/>
  <c r="M12" i="4" s="1"/>
  <c r="N12" i="4" s="1"/>
  <c r="O12" i="4" s="1"/>
  <c r="K12" i="4"/>
  <c r="H12" i="4"/>
  <c r="G12" i="4"/>
  <c r="E12" i="4"/>
  <c r="R11" i="4"/>
  <c r="Q11" i="4"/>
  <c r="L11" i="4"/>
  <c r="M11" i="4" s="1"/>
  <c r="N11" i="4" s="1"/>
  <c r="O11" i="4" s="1"/>
  <c r="K11" i="4"/>
  <c r="H11" i="4"/>
  <c r="G11" i="4"/>
  <c r="E11" i="4"/>
  <c r="Q10" i="4"/>
  <c r="R10" i="4" s="1"/>
  <c r="L10" i="4"/>
  <c r="M10" i="4" s="1"/>
  <c r="N10" i="4" s="1"/>
  <c r="O10" i="4" s="1"/>
  <c r="K10" i="4"/>
  <c r="H10" i="4"/>
  <c r="G10" i="4"/>
  <c r="E10" i="4"/>
  <c r="Q9" i="4"/>
  <c r="R9" i="4" s="1"/>
  <c r="M9" i="4"/>
  <c r="N9" i="4" s="1"/>
  <c r="O9" i="4" s="1"/>
  <c r="L9" i="4"/>
  <c r="K9" i="4"/>
  <c r="H9" i="4"/>
  <c r="G9" i="4"/>
  <c r="E9" i="4"/>
  <c r="Q8" i="4"/>
  <c r="R8" i="4" s="1"/>
  <c r="L8" i="4"/>
  <c r="M8" i="4" s="1"/>
  <c r="N8" i="4" s="1"/>
  <c r="O8" i="4" s="1"/>
  <c r="K8" i="4"/>
  <c r="H8" i="4"/>
  <c r="G8" i="4"/>
  <c r="E8" i="4"/>
  <c r="R7" i="4"/>
  <c r="Q7" i="4"/>
  <c r="L7" i="4"/>
  <c r="M7" i="4" s="1"/>
  <c r="N7" i="4" s="1"/>
  <c r="O7" i="4" s="1"/>
  <c r="K7" i="4"/>
  <c r="H7" i="4"/>
  <c r="G7" i="4"/>
  <c r="E7" i="4"/>
  <c r="Q6" i="4"/>
  <c r="R6" i="4" s="1"/>
  <c r="L6" i="4"/>
  <c r="M6" i="4" s="1"/>
  <c r="N6" i="4" s="1"/>
  <c r="O6" i="4" s="1"/>
  <c r="K6" i="4"/>
  <c r="H6" i="4"/>
  <c r="G6" i="4"/>
  <c r="E6" i="4"/>
  <c r="Q5" i="4"/>
  <c r="R5" i="4" s="1"/>
  <c r="M5" i="4"/>
  <c r="N5" i="4" s="1"/>
  <c r="O5" i="4" s="1"/>
  <c r="L5" i="4"/>
  <c r="K5" i="4"/>
  <c r="H5" i="4"/>
  <c r="G5" i="4"/>
  <c r="E5" i="4"/>
  <c r="Q4" i="4"/>
  <c r="R4" i="4" s="1"/>
  <c r="L4" i="4"/>
  <c r="M4" i="4" s="1"/>
  <c r="N4" i="4" s="1"/>
  <c r="O4" i="4" s="1"/>
  <c r="K4" i="4"/>
  <c r="H4" i="4"/>
  <c r="G4" i="4"/>
  <c r="E4" i="4"/>
</calcChain>
</file>

<file path=xl/sharedStrings.xml><?xml version="1.0" encoding="utf-8"?>
<sst xmlns="http://schemas.openxmlformats.org/spreadsheetml/2006/main" count="512" uniqueCount="239">
  <si>
    <t>01_MASTER_MATERIAL  |  Warehouse Operations in a Heavy Equipment Manufacturing Environment</t>
  </si>
  <si>
    <t>Material Code</t>
  </si>
  <si>
    <t>Material Description</t>
  </si>
  <si>
    <t>Material Group</t>
  </si>
  <si>
    <t>Base UoM</t>
  </si>
  <si>
    <t>Purchase UoM</t>
  </si>
  <si>
    <t>Conversion Factor (Purchase to Base)</t>
  </si>
  <si>
    <t>Primary Supplier Code</t>
  </si>
  <si>
    <t>Standard Cost (per Base UoM)</t>
  </si>
  <si>
    <t>ABC Classification</t>
  </si>
  <si>
    <t>Criticality Flag</t>
  </si>
  <si>
    <t>Storage/Handling Class</t>
  </si>
  <si>
    <t>Min Stock Level</t>
  </si>
  <si>
    <t>Max Stock Level</t>
  </si>
  <si>
    <t>Lead Time (Days)</t>
  </si>
  <si>
    <t>Status</t>
  </si>
  <si>
    <t>MAT-00001</t>
  </si>
  <si>
    <t>Hydraulic Cylinder Seal Kit 80mm</t>
  </si>
  <si>
    <t>Hydraulic Components</t>
  </si>
  <si>
    <t>PCS</t>
  </si>
  <si>
    <t>BOX</t>
  </si>
  <si>
    <t>SUP-0012</t>
  </si>
  <si>
    <t>A</t>
  </si>
  <si>
    <t>Critical Spare</t>
  </si>
  <si>
    <t>Standard</t>
  </si>
  <si>
    <t>Active</t>
  </si>
  <si>
    <t>MAT-00002</t>
  </si>
  <si>
    <t>Steel Plate 10mm x 2m x 1m</t>
  </si>
  <si>
    <t>Raw Steel</t>
  </si>
  <si>
    <t>SUP-0005</t>
  </si>
  <si>
    <t>Heavy/Bulk</t>
  </si>
  <si>
    <t>MAT-00003</t>
  </si>
  <si>
    <t>Engine Oil Filter (Cat 320D)</t>
  </si>
  <si>
    <t>Engine Parts</t>
  </si>
  <si>
    <t>SUP-0021</t>
  </si>
  <si>
    <t>B</t>
  </si>
  <si>
    <t>MAT-00004</t>
  </si>
  <si>
    <t>Hex Bolt M12x50 Grade 8.8</t>
  </si>
  <si>
    <t>Fasteners</t>
  </si>
  <si>
    <t>SUP-0009</t>
  </si>
  <si>
    <t>C</t>
  </si>
  <si>
    <t>MAT-00005</t>
  </si>
  <si>
    <t>Industrial Degreaser 20L</t>
  </si>
  <si>
    <t>Consumables</t>
  </si>
  <si>
    <t>LTR</t>
  </si>
  <si>
    <t>SUP-0014</t>
  </si>
  <si>
    <t>Hazardous</t>
  </si>
  <si>
    <t>MAT-00006</t>
  </si>
  <si>
    <t>Track Roller Assembly (Komatsu D65)</t>
  </si>
  <si>
    <t>MAT-00007</t>
  </si>
  <si>
    <t>Air Filter Element - Primary</t>
  </si>
  <si>
    <t>MAT-00008</t>
  </si>
  <si>
    <t>Hydraulic Hose 1/2in x 3m</t>
  </si>
  <si>
    <t>MAT-00009</t>
  </si>
  <si>
    <t>Grease Cartridge NLGI2 400g</t>
  </si>
  <si>
    <t>MAT-00010</t>
  </si>
  <si>
    <t>Welding Electrode E7018 3.2mm</t>
  </si>
  <si>
    <t>KG</t>
  </si>
  <si>
    <t>MAT-00011</t>
  </si>
  <si>
    <t>Final Drive Motor (Excavator PC200)</t>
  </si>
  <si>
    <t>Finished Spares</t>
  </si>
  <si>
    <t>SUP-0033</t>
  </si>
  <si>
    <t>MAT-00012</t>
  </si>
  <si>
    <t>Bucket Teeth (CAT style)</t>
  </si>
  <si>
    <t>MAT-00013</t>
  </si>
  <si>
    <t>Radiator Coolant 20L</t>
  </si>
  <si>
    <t>MAT-00014</t>
  </si>
  <si>
    <t>Flat Washer M12 Zinc Plated</t>
  </si>
  <si>
    <t>MAT-00015</t>
  </si>
  <si>
    <t>Turbocharger Assembly (Cat C15)</t>
  </si>
  <si>
    <t>MAT-00016</t>
  </si>
  <si>
    <t>V-Belt A-Section 1250mm</t>
  </si>
  <si>
    <t>MAT-00017</t>
  </si>
  <si>
    <t>Steel I-Beam 6m Length</t>
  </si>
  <si>
    <t>MAT-00018</t>
  </si>
  <si>
    <t>Cabin Air Filter</t>
  </si>
  <si>
    <t>MAT-00019</t>
  </si>
  <si>
    <t>Bearing 6205-2RS</t>
  </si>
  <si>
    <t>MAT-00020</t>
  </si>
  <si>
    <t>Undercarriage Chain Link Assembly</t>
  </si>
  <si>
    <t>Inactive</t>
  </si>
  <si>
    <t>Notes / Data Dictionary</t>
  </si>
  <si>
    <t>- Material Code: Primary key. Format MAT-##### used consistently across all worksheets.</t>
  </si>
  <si>
    <t>- ABC Classification: A = high value/usage, B = moderate, C = low value/high volume.</t>
  </si>
  <si>
    <t>- Criticality Flag: 'Critical Spare' = stockout risk causes production/machine downtime.</t>
  </si>
  <si>
    <t>- Conversion Factor: Multiply Purchase UoM quantity by this factor to obtain Base UoM quantity (used in PO reconciliation).</t>
  </si>
  <si>
    <t>- Status: Only 'Active' materials should be used in new transactions.</t>
  </si>
  <si>
    <t>02_MASTER_SUPPLIER  |  Warehouse Operations in a Heavy Equipment Manufacturing Environment</t>
  </si>
  <si>
    <t>Supplier Code</t>
  </si>
  <si>
    <t>Supplier Name</t>
  </si>
  <si>
    <t>Supplier Type</t>
  </si>
  <si>
    <t>Supplier Category</t>
  </si>
  <si>
    <t>Country</t>
  </si>
  <si>
    <t>Contact Person</t>
  </si>
  <si>
    <t>Contact Email</t>
  </si>
  <si>
    <t>Contact Phone</t>
  </si>
  <si>
    <t>Supplier Rating</t>
  </si>
  <si>
    <t>PT Krakatau Steel Distribusi</t>
  </si>
  <si>
    <t>Authorized Distributor</t>
  </si>
  <si>
    <t>Local</t>
  </si>
  <si>
    <t>Indonesia</t>
  </si>
  <si>
    <t>Budi Santoso</t>
  </si>
  <si>
    <t>budi.santoso@krakatau-dist.co.id</t>
  </si>
  <si>
    <t>021-5501234</t>
  </si>
  <si>
    <t>Preferred</t>
  </si>
  <si>
    <t>PT Fastener Nusantara</t>
  </si>
  <si>
    <t>Local Trader</t>
  </si>
  <si>
    <t>Rina Wulandari</t>
  </si>
  <si>
    <t>rina@fastenernusantara.co.id</t>
  </si>
  <si>
    <t>021-5502345</t>
  </si>
  <si>
    <t>Approved</t>
  </si>
  <si>
    <t>Komatsu Parts Indonesia</t>
  </si>
  <si>
    <t>Agus Prasetyo</t>
  </si>
  <si>
    <t>agus.p@komatsuparts.co.id</t>
  </si>
  <si>
    <t>021-5503456</t>
  </si>
  <si>
    <t>PT Kimia Pelumas Industri</t>
  </si>
  <si>
    <t>Siti Rahayu</t>
  </si>
  <si>
    <t>siti.rahayu@kpi-lube.co.id</t>
  </si>
  <si>
    <t>021-5504567</t>
  </si>
  <si>
    <t>Caterpillar Engine Parts Distributor</t>
  </si>
  <si>
    <t>Import</t>
  </si>
  <si>
    <t>Singapore</t>
  </si>
  <si>
    <t>Michael Tan</t>
  </si>
  <si>
    <t>michael.tan@catengine-sg.com</t>
  </si>
  <si>
    <t>+65-6511-2233</t>
  </si>
  <si>
    <t>Original Equipment Spares Corp</t>
  </si>
  <si>
    <t>Manufacturer</t>
  </si>
  <si>
    <t>Japan</t>
  </si>
  <si>
    <t>Kenji Watanabe</t>
  </si>
  <si>
    <t>k.watanabe@oescorp.jp</t>
  </si>
  <si>
    <t>+81-3-4455-6677</t>
  </si>
  <si>
    <t>SUP-0002</t>
  </si>
  <si>
    <t>PT Sumber Baja Perkasa</t>
  </si>
  <si>
    <t>Dedi Kurniawan</t>
  </si>
  <si>
    <t>dedi@sumberbaja.co.id</t>
  </si>
  <si>
    <t>022-6601122</t>
  </si>
  <si>
    <t>Under Review</t>
  </si>
  <si>
    <t>SUP-0018</t>
  </si>
  <si>
    <t>Global Hydraulic Supply Pte Ltd</t>
  </si>
  <si>
    <t>Lisa Ong</t>
  </si>
  <si>
    <t>lisa.ong@ghsupply.sg</t>
  </si>
  <si>
    <t>+65-6522-3344</t>
  </si>
  <si>
    <t>SUP-0025</t>
  </si>
  <si>
    <t>PT Mitra Konsumabel Industri</t>
  </si>
  <si>
    <t>Andi Firmansyah</t>
  </si>
  <si>
    <t>andi@mitrakonsumabel.co.id</t>
  </si>
  <si>
    <t>021-5507890</t>
  </si>
  <si>
    <t>SUP-0040</t>
  </si>
  <si>
    <t>Heavy Equipment Parts Trading Co.</t>
  </si>
  <si>
    <t>Yusuf Hidayat</t>
  </si>
  <si>
    <t>yusuf@heptrading.co.id</t>
  </si>
  <si>
    <t>021-5508901</t>
  </si>
  <si>
    <t>- Supplier Code: Primary key. Must match Primary Supplier Code values used in 01_Master_Material.</t>
  </si>
  <si>
    <t>- Supplier Type: Manufacturer = direct OEM source; Authorized Distributor = official regional channel; Local Trader = non-exclusive reseller.</t>
  </si>
  <si>
    <t>- Supplier Rating: Purchasing-assigned reliability tier. 'Under Review' should not be used for new Critical Spare orders.</t>
  </si>
  <si>
    <t>- Assumption: Payment Terms, Tax ID, and Currency are out of scope (no Finance/AP worksheet exists).</t>
  </si>
  <si>
    <t>- Status: Only 'Active' suppliers should be selectable when creating a new Purchase Order.</t>
  </si>
  <si>
    <t>03_MASTER_LOCATION  |  Warehouse Operations in a Heavy Equipment Manufacturing Environment</t>
  </si>
  <si>
    <t>Location Code</t>
  </si>
  <si>
    <t>Location Description</t>
  </si>
  <si>
    <t>Zone</t>
  </si>
  <si>
    <t>Storage/Handling Requirement</t>
  </si>
  <si>
    <t>Pickable Flag</t>
  </si>
  <si>
    <t>Capacity (Max Qty)</t>
  </si>
  <si>
    <t>RCV-DOCK-01</t>
  </si>
  <si>
    <t>Receiving Dock 1</t>
  </si>
  <si>
    <t>Receiving</t>
  </si>
  <si>
    <t>No</t>
  </si>
  <si>
    <t>RCV-DOCK-02</t>
  </si>
  <si>
    <t>Receiving Dock 2 (Heavy Cargo)</t>
  </si>
  <si>
    <t>BLK-A-01</t>
  </si>
  <si>
    <t>Bulk Storage Rack A-01 (Steel Plates)</t>
  </si>
  <si>
    <t>Storage</t>
  </si>
  <si>
    <t>Yes</t>
  </si>
  <si>
    <t>BLK-A-02</t>
  </si>
  <si>
    <t>Bulk Storage Rack A-02</t>
  </si>
  <si>
    <t>RCK-B-01-01</t>
  </si>
  <si>
    <t>Standard Racking B-01 Level 1</t>
  </si>
  <si>
    <t>RCK-B-01-02</t>
  </si>
  <si>
    <t>Standard Racking B-01 Level 2</t>
  </si>
  <si>
    <t>RCK-B-02-01</t>
  </si>
  <si>
    <t>Standard Racking B-02 Level 1</t>
  </si>
  <si>
    <t>HAZ-C-01</t>
  </si>
  <si>
    <t>Hazardous Storage Cabinet C-01</t>
  </si>
  <si>
    <t>QC-HOLD-01</t>
  </si>
  <si>
    <t>Quarantine / QC Hold Area 1</t>
  </si>
  <si>
    <t>Quarantine/QC Hold</t>
  </si>
  <si>
    <t>SHP-STG-01</t>
  </si>
  <si>
    <t>Shipping Staging Area 1</t>
  </si>
  <si>
    <t>Shipping/Staging</t>
  </si>
  <si>
    <t>RCK-B-03-01</t>
  </si>
  <si>
    <t>Standard Racking B-03 Level 1 (Under Maintenance)</t>
  </si>
  <si>
    <t>- Location Code: Primary key, format ZONE-RACK-LEVEL. Foreign key used in Put-Away, Stock Card, and Cycle Count.</t>
  </si>
  <si>
    <t>- Zone: Functional workflow stage. Only 'Storage' zone locations are expected to be Pickable = Yes.</t>
  </si>
  <si>
    <t>- Storage/Handling Requirement: Uses the same value list as Storage/Handling Class in 01_Master_Material.</t>
  </si>
  <si>
    <t>- Pickable Flag: Business rule enforced in 08_Picking_List.</t>
  </si>
  <si>
    <t>- Capacity (Max Qty): Denominator for the Dashboard's warehouse utilization KPI.</t>
  </si>
  <si>
    <t>- Design note: Current Utilization (%) is intentionally NOT stored here; it is calculated in 12_Dashboard from Stock Card data.</t>
  </si>
  <si>
    <t>04_PURCHASE_ORDER  |  Warehouse Operations in a Heavy Equipment Manufacturing Environment</t>
  </si>
  <si>
    <t>PO Number</t>
  </si>
  <si>
    <t>PO Line</t>
  </si>
  <si>
    <t>PO Date</t>
  </si>
  <si>
    <t>Order Quantity</t>
  </si>
  <si>
    <t>Unit Price</t>
  </si>
  <si>
    <t>Line Total</t>
  </si>
  <si>
    <t>Conversion Factor (Ref)</t>
  </si>
  <si>
    <t>Standard Cost Equivalent</t>
  </si>
  <si>
    <t>Price Variance</t>
  </si>
  <si>
    <t>Price Variance %</t>
  </si>
  <si>
    <t>Order Priority</t>
  </si>
  <si>
    <t>Lead Time (Days) Ref</t>
  </si>
  <si>
    <t>Expected Delivery Date</t>
  </si>
  <si>
    <t>PO Status</t>
  </si>
  <si>
    <t>Remarks</t>
  </si>
  <si>
    <t>PO-2026-0001</t>
  </si>
  <si>
    <t>2026-06-01</t>
  </si>
  <si>
    <t>Closed</t>
  </si>
  <si>
    <t>PO-2026-0002</t>
  </si>
  <si>
    <t>2026-06-05</t>
  </si>
  <si>
    <t>Urgent</t>
  </si>
  <si>
    <t>Open</t>
  </si>
  <si>
    <t>Emergency replacement - unit down</t>
  </si>
  <si>
    <t>Partially Received</t>
  </si>
  <si>
    <t>PO-2026-0003</t>
  </si>
  <si>
    <t>2026-06-10</t>
  </si>
  <si>
    <t>Cancelled</t>
  </si>
  <si>
    <t>Project scope changed</t>
  </si>
  <si>
    <t>PO-2026-0004</t>
  </si>
  <si>
    <t>2026-06-12</t>
  </si>
  <si>
    <t>Critical spare - low stock</t>
  </si>
  <si>
    <t>PO-2026-0005</t>
  </si>
  <si>
    <t>2026-06-15</t>
  </si>
  <si>
    <t>- PO Number + PO Line: Composite key. Foreign key referenced by 05_Goods_Receipt to validate received qty against ordered qty.</t>
  </si>
  <si>
    <t>- Supplier Name, Material Description, Purchase UoM, Conversion Factor, Lead Time: all pulled live via INDEX/MATCH from the master sheets (green font = cross-sheet link).</t>
  </si>
  <si>
    <t>- Standard Cost Equivalent = Material Standard Cost (per Base UoM) x Conversion Factor, converting it into Purchase UoM terms so it is directly comparable to the negotiated Unit Price.</t>
  </si>
  <si>
    <t>- Price Variance = Unit Price - Standard Cost Equivalent. Positive = paid above standard cost; Negative = paid below standard cost.</t>
  </si>
  <si>
    <t>- Expected Delivery Date = PO Date + Lead Time (Days) from Material Master. This is a formula, not a manually typed date.</t>
  </si>
  <si>
    <t>- PO Status is manually seeded for now (Open/Partially Received/Closed/Cancelled). Once 05_Goods_Receipt is built, this should become a formula comparing SUMIFS of received qty against Order Quantity.</t>
  </si>
  <si>
    <t>- Font color convention: blue = manual input, green = cross-sheet lookup formula, black = same-row calculated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</si>
</sst>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;\(#,##0.00\)"/>
    <numFmt numFmtId="166" formatCode="0.0%;\(0.0%\)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6" fontId="8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14">
    <dxf>
      <fill>
        <patternFill>
          <bgColor rgb="FFE2EFDA"/>
        </patternFill>
      </fill>
    </dxf>
    <dxf>
      <font>
        <i/>
        <color rgb="FF808080"/>
        <name val="Arial"/>
        <charset val="1"/>
      </font>
      <fill>
        <patternFill>
          <bgColor rgb="FFD9D9D9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color rgb="FF008000"/>
        <name val="Arial"/>
        <charset val="1"/>
      </font>
    </dxf>
    <dxf>
      <font>
        <color rgb="FFC00000"/>
        <name val="Arial"/>
        <charset val="1"/>
      </font>
    </dxf>
    <dxf>
      <font>
        <i/>
        <color rgb="FF808080"/>
        <name val="Arial"/>
        <charset val="1"/>
      </font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ont>
        <b/>
        <color rgb="FFC00000"/>
        <name val="Arial"/>
        <charset val="1"/>
      </font>
    </dxf>
    <dxf>
      <fill>
        <patternFill>
          <bgColor rgb="FFE2EFDA"/>
        </patternFill>
      </fill>
    </dxf>
    <dxf>
      <fill>
        <patternFill>
          <bgColor rgb="FFD9D9D9"/>
        </patternFill>
      </fill>
    </dxf>
    <dxf>
      <font>
        <b/>
        <color rgb="FFC00000"/>
        <name val="Arial"/>
        <charset val="1"/>
      </font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MasterMaterial" displayName="tbl_MasterMaterial" ref="A3:O23" totalsRowShown="0">
  <autoFilter ref="A3:O23" xr:uid="{00000000-0009-0000-0100-000002000000}"/>
  <tableColumns count="15">
    <tableColumn id="1" xr3:uid="{00000000-0010-0000-0000-000001000000}" name="Material Code"/>
    <tableColumn id="2" xr3:uid="{00000000-0010-0000-0000-000002000000}" name="Material Description"/>
    <tableColumn id="3" xr3:uid="{00000000-0010-0000-0000-000003000000}" name="Material Group"/>
    <tableColumn id="4" xr3:uid="{00000000-0010-0000-0000-000004000000}" name="Base UoM"/>
    <tableColumn id="5" xr3:uid="{00000000-0010-0000-0000-000005000000}" name="Purchase UoM"/>
    <tableColumn id="6" xr3:uid="{00000000-0010-0000-0000-000006000000}" name="Conversion Factor (Purchase to Base)"/>
    <tableColumn id="7" xr3:uid="{00000000-0010-0000-0000-000007000000}" name="Primary Supplier Code"/>
    <tableColumn id="8" xr3:uid="{00000000-0010-0000-0000-000008000000}" name="Standard Cost (per Base UoM)"/>
    <tableColumn id="9" xr3:uid="{00000000-0010-0000-0000-000009000000}" name="ABC Classification"/>
    <tableColumn id="10" xr3:uid="{00000000-0010-0000-0000-00000A000000}" name="Criticality Flag"/>
    <tableColumn id="11" xr3:uid="{00000000-0010-0000-0000-00000B000000}" name="Storage/Handling Class"/>
    <tableColumn id="12" xr3:uid="{00000000-0010-0000-0000-00000C000000}" name="Min Stock Level"/>
    <tableColumn id="13" xr3:uid="{00000000-0010-0000-0000-00000D000000}" name="Max Stock Level"/>
    <tableColumn id="14" xr3:uid="{00000000-0010-0000-0000-00000E000000}" name="Lead Time (Days)"/>
    <tableColumn id="15" xr3:uid="{00000000-0010-0000-0000-00000F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_MasterSupplier" displayName="tbl_MasterSupplier" ref="A3:J13" totalsRowShown="0">
  <autoFilter ref="A3:J13" xr:uid="{00000000-0009-0000-0100-000003000000}"/>
  <tableColumns count="10">
    <tableColumn id="1" xr3:uid="{00000000-0010-0000-0100-000001000000}" name="Supplier Code"/>
    <tableColumn id="2" xr3:uid="{00000000-0010-0000-0100-000002000000}" name="Supplier Name"/>
    <tableColumn id="3" xr3:uid="{00000000-0010-0000-0100-000003000000}" name="Supplier Type"/>
    <tableColumn id="4" xr3:uid="{00000000-0010-0000-0100-000004000000}" name="Supplier Category"/>
    <tableColumn id="5" xr3:uid="{00000000-0010-0000-0100-000005000000}" name="Country"/>
    <tableColumn id="6" xr3:uid="{00000000-0010-0000-0100-000006000000}" name="Contact Person"/>
    <tableColumn id="7" xr3:uid="{00000000-0010-0000-0100-000007000000}" name="Contact Email"/>
    <tableColumn id="8" xr3:uid="{00000000-0010-0000-0100-000008000000}" name="Contact Phone"/>
    <tableColumn id="9" xr3:uid="{00000000-0010-0000-0100-000009000000}" name="Supplier Rating"/>
    <tableColumn id="10" xr3:uid="{00000000-0010-0000-0100-00000A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MasterLocation" displayName="tbl_MasterLocation" ref="A3:G14" totalsRowShown="0">
  <autoFilter ref="A3:G14" xr:uid="{00000000-0009-0000-0100-000001000000}"/>
  <tableColumns count="7">
    <tableColumn id="1" xr3:uid="{00000000-0010-0000-0200-000001000000}" name="Location Code"/>
    <tableColumn id="2" xr3:uid="{00000000-0010-0000-0200-000002000000}" name="Location Description"/>
    <tableColumn id="3" xr3:uid="{00000000-0010-0000-0200-000003000000}" name="Zone"/>
    <tableColumn id="4" xr3:uid="{00000000-0010-0000-0200-000004000000}" name="Storage/Handling Requirement"/>
    <tableColumn id="5" xr3:uid="{00000000-0010-0000-0200-000005000000}" name="Pickable Flag"/>
    <tableColumn id="6" xr3:uid="{00000000-0010-0000-0200-000006000000}" name="Capacity (Max Qty)"/>
    <tableColumn id="7" xr3:uid="{00000000-0010-0000-0200-000007000000}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urchaseOrder" displayName="tbl_PurchaseOrder" ref="A3:T13" totalsRowShown="0">
  <autoFilter ref="A3:T13" xr:uid="{00000000-0009-0000-0100-000004000000}"/>
  <tableColumns count="20">
    <tableColumn id="1" xr3:uid="{00000000-0010-0000-0300-000001000000}" name="PO Number"/>
    <tableColumn id="2" xr3:uid="{00000000-0010-0000-0300-000002000000}" name="PO Line"/>
    <tableColumn id="3" xr3:uid="{00000000-0010-0000-0300-000003000000}" name="PO Date"/>
    <tableColumn id="4" xr3:uid="{00000000-0010-0000-0300-000004000000}" name="Supplier Code"/>
    <tableColumn id="5" xr3:uid="{00000000-0010-0000-0300-000005000000}" name="Supplier Name"/>
    <tableColumn id="6" xr3:uid="{00000000-0010-0000-0300-000006000000}" name="Material Code"/>
    <tableColumn id="7" xr3:uid="{00000000-0010-0000-0300-000007000000}" name="Material Description"/>
    <tableColumn id="8" xr3:uid="{00000000-0010-0000-0300-000008000000}" name="Purchase UoM"/>
    <tableColumn id="9" xr3:uid="{00000000-0010-0000-0300-000009000000}" name="Order Quantity"/>
    <tableColumn id="10" xr3:uid="{00000000-0010-0000-0300-00000A000000}" name="Unit Price"/>
    <tableColumn id="11" xr3:uid="{00000000-0010-0000-0300-00000B000000}" name="Line Total"/>
    <tableColumn id="12" xr3:uid="{00000000-0010-0000-0300-00000C000000}" name="Conversion Factor (Ref)"/>
    <tableColumn id="13" xr3:uid="{00000000-0010-0000-0300-00000D000000}" name="Standard Cost Equivalent"/>
    <tableColumn id="14" xr3:uid="{00000000-0010-0000-0300-00000E000000}" name="Price Variance"/>
    <tableColumn id="15" xr3:uid="{00000000-0010-0000-0300-00000F000000}" name="Price Variance %"/>
    <tableColumn id="16" xr3:uid="{00000000-0010-0000-0300-000010000000}" name="Order Priority"/>
    <tableColumn id="17" xr3:uid="{00000000-0010-0000-0300-000011000000}" name="Lead Time (Days) Ref"/>
    <tableColumn id="18" xr3:uid="{00000000-0010-0000-0300-000012000000}" name="Expected Delivery Date"/>
    <tableColumn id="19" xr3:uid="{00000000-0010-0000-0300-000013000000}" name="PO Status"/>
    <tableColumn id="20" xr3:uid="{00000000-0010-0000-0300-000014000000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zoomScaleNormal="100" workbookViewId="0">
      <pane ySplit="3" topLeftCell="A4" activePane="bottomLeft" state="frozen"/>
      <selection pane="bottomLeft" sqref="A1:O1"/>
    </sheetView>
  </sheetViews>
  <sheetFormatPr defaultColWidth="8.7109375" defaultRowHeight="15" x14ac:dyDescent="0.25"/>
  <cols>
    <col min="1" max="1" width="14" customWidth="1"/>
    <col min="2" max="2" width="34" customWidth="1"/>
    <col min="3" max="3" width="20" customWidth="1"/>
    <col min="4" max="4" width="10" customWidth="1"/>
    <col min="5" max="5" width="12" customWidth="1"/>
    <col min="6" max="6" width="18" customWidth="1"/>
    <col min="7" max="8" width="16" customWidth="1"/>
    <col min="9" max="9" width="10" customWidth="1"/>
    <col min="10" max="11" width="16" customWidth="1"/>
    <col min="12" max="14" width="12" customWidth="1"/>
    <col min="15" max="15" width="10" customWidth="1"/>
  </cols>
  <sheetData>
    <row r="1" spans="1:15" ht="24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ht="31.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3" t="s">
        <v>16</v>
      </c>
      <c r="B4" s="4" t="s">
        <v>17</v>
      </c>
      <c r="C4" s="3" t="s">
        <v>18</v>
      </c>
      <c r="D4" s="3" t="s">
        <v>19</v>
      </c>
      <c r="E4" s="3" t="s">
        <v>20</v>
      </c>
      <c r="F4" s="5">
        <v>10</v>
      </c>
      <c r="G4" s="3" t="s">
        <v>21</v>
      </c>
      <c r="H4" s="6">
        <v>145.5</v>
      </c>
      <c r="I4" s="3" t="s">
        <v>22</v>
      </c>
      <c r="J4" s="3" t="s">
        <v>23</v>
      </c>
      <c r="K4" s="3" t="s">
        <v>24</v>
      </c>
      <c r="L4" s="5">
        <v>20</v>
      </c>
      <c r="M4" s="5">
        <v>100</v>
      </c>
      <c r="N4" s="5">
        <v>14</v>
      </c>
      <c r="O4" s="3" t="s">
        <v>25</v>
      </c>
    </row>
    <row r="5" spans="1:15" x14ac:dyDescent="0.25">
      <c r="A5" s="3" t="s">
        <v>26</v>
      </c>
      <c r="B5" s="4" t="s">
        <v>27</v>
      </c>
      <c r="C5" s="3" t="s">
        <v>28</v>
      </c>
      <c r="D5" s="3" t="s">
        <v>19</v>
      </c>
      <c r="E5" s="3" t="s">
        <v>19</v>
      </c>
      <c r="F5" s="5">
        <v>1</v>
      </c>
      <c r="G5" s="3" t="s">
        <v>29</v>
      </c>
      <c r="H5" s="6">
        <v>320</v>
      </c>
      <c r="I5" s="3" t="s">
        <v>22</v>
      </c>
      <c r="J5" s="3" t="s">
        <v>24</v>
      </c>
      <c r="K5" s="3" t="s">
        <v>30</v>
      </c>
      <c r="L5" s="5">
        <v>10</v>
      </c>
      <c r="M5" s="5">
        <v>50</v>
      </c>
      <c r="N5" s="5">
        <v>21</v>
      </c>
      <c r="O5" s="3" t="s">
        <v>25</v>
      </c>
    </row>
    <row r="6" spans="1:15" x14ac:dyDescent="0.25">
      <c r="A6" s="3" t="s">
        <v>31</v>
      </c>
      <c r="B6" s="4" t="s">
        <v>32</v>
      </c>
      <c r="C6" s="3" t="s">
        <v>33</v>
      </c>
      <c r="D6" s="3" t="s">
        <v>19</v>
      </c>
      <c r="E6" s="3" t="s">
        <v>20</v>
      </c>
      <c r="F6" s="5">
        <v>24</v>
      </c>
      <c r="G6" s="3" t="s">
        <v>34</v>
      </c>
      <c r="H6" s="6">
        <v>18.75</v>
      </c>
      <c r="I6" s="3" t="s">
        <v>35</v>
      </c>
      <c r="J6" s="3" t="s">
        <v>23</v>
      </c>
      <c r="K6" s="3" t="s">
        <v>24</v>
      </c>
      <c r="L6" s="5">
        <v>50</v>
      </c>
      <c r="M6" s="5">
        <v>300</v>
      </c>
      <c r="N6" s="5">
        <v>7</v>
      </c>
      <c r="O6" s="3" t="s">
        <v>25</v>
      </c>
    </row>
    <row r="7" spans="1:15" x14ac:dyDescent="0.25">
      <c r="A7" s="3" t="s">
        <v>36</v>
      </c>
      <c r="B7" s="4" t="s">
        <v>37</v>
      </c>
      <c r="C7" s="3" t="s">
        <v>38</v>
      </c>
      <c r="D7" s="3" t="s">
        <v>19</v>
      </c>
      <c r="E7" s="3" t="s">
        <v>20</v>
      </c>
      <c r="F7" s="5">
        <v>100</v>
      </c>
      <c r="G7" s="3" t="s">
        <v>39</v>
      </c>
      <c r="H7" s="6">
        <v>0.35</v>
      </c>
      <c r="I7" s="3" t="s">
        <v>40</v>
      </c>
      <c r="J7" s="3" t="s">
        <v>24</v>
      </c>
      <c r="K7" s="3" t="s">
        <v>24</v>
      </c>
      <c r="L7" s="5">
        <v>500</v>
      </c>
      <c r="M7" s="5">
        <v>5000</v>
      </c>
      <c r="N7" s="5">
        <v>10</v>
      </c>
      <c r="O7" s="3" t="s">
        <v>25</v>
      </c>
    </row>
    <row r="8" spans="1:15" x14ac:dyDescent="0.25">
      <c r="A8" s="3" t="s">
        <v>41</v>
      </c>
      <c r="B8" s="4" t="s">
        <v>42</v>
      </c>
      <c r="C8" s="3" t="s">
        <v>43</v>
      </c>
      <c r="D8" s="3" t="s">
        <v>44</v>
      </c>
      <c r="E8" s="3" t="s">
        <v>20</v>
      </c>
      <c r="F8" s="5">
        <v>20</v>
      </c>
      <c r="G8" s="3" t="s">
        <v>45</v>
      </c>
      <c r="H8" s="6">
        <v>4.2</v>
      </c>
      <c r="I8" s="3" t="s">
        <v>40</v>
      </c>
      <c r="J8" s="3" t="s">
        <v>24</v>
      </c>
      <c r="K8" s="3" t="s">
        <v>46</v>
      </c>
      <c r="L8" s="5">
        <v>40</v>
      </c>
      <c r="M8" s="5">
        <v>200</v>
      </c>
      <c r="N8" s="5">
        <v>5</v>
      </c>
      <c r="O8" s="3" t="s">
        <v>25</v>
      </c>
    </row>
    <row r="9" spans="1:15" x14ac:dyDescent="0.25">
      <c r="A9" s="3" t="s">
        <v>47</v>
      </c>
      <c r="B9" s="4" t="s">
        <v>48</v>
      </c>
      <c r="C9" s="3" t="s">
        <v>18</v>
      </c>
      <c r="D9" s="3" t="s">
        <v>19</v>
      </c>
      <c r="E9" s="3" t="s">
        <v>19</v>
      </c>
      <c r="F9" s="5">
        <v>1</v>
      </c>
      <c r="G9" s="3" t="s">
        <v>21</v>
      </c>
      <c r="H9" s="6">
        <v>890</v>
      </c>
      <c r="I9" s="3" t="s">
        <v>22</v>
      </c>
      <c r="J9" s="3" t="s">
        <v>23</v>
      </c>
      <c r="K9" s="3" t="s">
        <v>30</v>
      </c>
      <c r="L9" s="5">
        <v>4</v>
      </c>
      <c r="M9" s="5">
        <v>20</v>
      </c>
      <c r="N9" s="5">
        <v>30</v>
      </c>
      <c r="O9" s="3" t="s">
        <v>25</v>
      </c>
    </row>
    <row r="10" spans="1:15" x14ac:dyDescent="0.25">
      <c r="A10" s="3" t="s">
        <v>49</v>
      </c>
      <c r="B10" s="4" t="s">
        <v>50</v>
      </c>
      <c r="C10" s="3" t="s">
        <v>33</v>
      </c>
      <c r="D10" s="3" t="s">
        <v>19</v>
      </c>
      <c r="E10" s="3" t="s">
        <v>20</v>
      </c>
      <c r="F10" s="5">
        <v>12</v>
      </c>
      <c r="G10" s="3" t="s">
        <v>34</v>
      </c>
      <c r="H10" s="6">
        <v>32.1</v>
      </c>
      <c r="I10" s="3" t="s">
        <v>35</v>
      </c>
      <c r="J10" s="3" t="s">
        <v>24</v>
      </c>
      <c r="K10" s="3" t="s">
        <v>24</v>
      </c>
      <c r="L10" s="5">
        <v>30</v>
      </c>
      <c r="M10" s="5">
        <v>150</v>
      </c>
      <c r="N10" s="5">
        <v>10</v>
      </c>
      <c r="O10" s="3" t="s">
        <v>25</v>
      </c>
    </row>
    <row r="11" spans="1:15" x14ac:dyDescent="0.25">
      <c r="A11" s="3" t="s">
        <v>51</v>
      </c>
      <c r="B11" s="4" t="s">
        <v>52</v>
      </c>
      <c r="C11" s="3" t="s">
        <v>18</v>
      </c>
      <c r="D11" s="3" t="s">
        <v>19</v>
      </c>
      <c r="E11" s="3" t="s">
        <v>19</v>
      </c>
      <c r="F11" s="5">
        <v>1</v>
      </c>
      <c r="G11" s="3" t="s">
        <v>21</v>
      </c>
      <c r="H11" s="6">
        <v>54.9</v>
      </c>
      <c r="I11" s="3" t="s">
        <v>35</v>
      </c>
      <c r="J11" s="3" t="s">
        <v>23</v>
      </c>
      <c r="K11" s="3" t="s">
        <v>24</v>
      </c>
      <c r="L11" s="5">
        <v>15</v>
      </c>
      <c r="M11" s="5">
        <v>80</v>
      </c>
      <c r="N11" s="5">
        <v>12</v>
      </c>
      <c r="O11" s="3" t="s">
        <v>25</v>
      </c>
    </row>
    <row r="12" spans="1:15" x14ac:dyDescent="0.25">
      <c r="A12" s="3" t="s">
        <v>53</v>
      </c>
      <c r="B12" s="4" t="s">
        <v>54</v>
      </c>
      <c r="C12" s="3" t="s">
        <v>43</v>
      </c>
      <c r="D12" s="3" t="s">
        <v>19</v>
      </c>
      <c r="E12" s="3" t="s">
        <v>20</v>
      </c>
      <c r="F12" s="5">
        <v>12</v>
      </c>
      <c r="G12" s="3" t="s">
        <v>45</v>
      </c>
      <c r="H12" s="6">
        <v>6.8</v>
      </c>
      <c r="I12" s="3" t="s">
        <v>40</v>
      </c>
      <c r="J12" s="3" t="s">
        <v>24</v>
      </c>
      <c r="K12" s="3" t="s">
        <v>24</v>
      </c>
      <c r="L12" s="5">
        <v>60</v>
      </c>
      <c r="M12" s="5">
        <v>400</v>
      </c>
      <c r="N12" s="5">
        <v>5</v>
      </c>
      <c r="O12" s="3" t="s">
        <v>25</v>
      </c>
    </row>
    <row r="13" spans="1:15" x14ac:dyDescent="0.25">
      <c r="A13" s="3" t="s">
        <v>55</v>
      </c>
      <c r="B13" s="4" t="s">
        <v>56</v>
      </c>
      <c r="C13" s="3" t="s">
        <v>28</v>
      </c>
      <c r="D13" s="3" t="s">
        <v>57</v>
      </c>
      <c r="E13" s="3" t="s">
        <v>20</v>
      </c>
      <c r="F13" s="5">
        <v>5</v>
      </c>
      <c r="G13" s="3" t="s">
        <v>29</v>
      </c>
      <c r="H13" s="6">
        <v>3.95</v>
      </c>
      <c r="I13" s="3" t="s">
        <v>40</v>
      </c>
      <c r="J13" s="3" t="s">
        <v>24</v>
      </c>
      <c r="K13" s="3" t="s">
        <v>24</v>
      </c>
      <c r="L13" s="5">
        <v>100</v>
      </c>
      <c r="M13" s="5">
        <v>600</v>
      </c>
      <c r="N13" s="5">
        <v>7</v>
      </c>
      <c r="O13" s="3" t="s">
        <v>25</v>
      </c>
    </row>
    <row r="14" spans="1:15" x14ac:dyDescent="0.25">
      <c r="A14" s="3" t="s">
        <v>58</v>
      </c>
      <c r="B14" s="4" t="s">
        <v>59</v>
      </c>
      <c r="C14" s="3" t="s">
        <v>60</v>
      </c>
      <c r="D14" s="3" t="s">
        <v>19</v>
      </c>
      <c r="E14" s="3" t="s">
        <v>19</v>
      </c>
      <c r="F14" s="5">
        <v>1</v>
      </c>
      <c r="G14" s="3" t="s">
        <v>61</v>
      </c>
      <c r="H14" s="6">
        <v>2450</v>
      </c>
      <c r="I14" s="3" t="s">
        <v>22</v>
      </c>
      <c r="J14" s="3" t="s">
        <v>23</v>
      </c>
      <c r="K14" s="3" t="s">
        <v>30</v>
      </c>
      <c r="L14" s="5">
        <v>2</v>
      </c>
      <c r="M14" s="5">
        <v>10</v>
      </c>
      <c r="N14" s="5">
        <v>45</v>
      </c>
      <c r="O14" s="3" t="s">
        <v>25</v>
      </c>
    </row>
    <row r="15" spans="1:15" x14ac:dyDescent="0.25">
      <c r="A15" s="3" t="s">
        <v>62</v>
      </c>
      <c r="B15" s="4" t="s">
        <v>63</v>
      </c>
      <c r="C15" s="3" t="s">
        <v>60</v>
      </c>
      <c r="D15" s="3" t="s">
        <v>19</v>
      </c>
      <c r="E15" s="3" t="s">
        <v>20</v>
      </c>
      <c r="F15" s="5">
        <v>10</v>
      </c>
      <c r="G15" s="3" t="s">
        <v>61</v>
      </c>
      <c r="H15" s="6">
        <v>42</v>
      </c>
      <c r="I15" s="3" t="s">
        <v>35</v>
      </c>
      <c r="J15" s="3" t="s">
        <v>23</v>
      </c>
      <c r="K15" s="3" t="s">
        <v>24</v>
      </c>
      <c r="L15" s="5">
        <v>25</v>
      </c>
      <c r="M15" s="5">
        <v>120</v>
      </c>
      <c r="N15" s="5">
        <v>20</v>
      </c>
      <c r="O15" s="3" t="s">
        <v>25</v>
      </c>
    </row>
    <row r="16" spans="1:15" x14ac:dyDescent="0.25">
      <c r="A16" s="3" t="s">
        <v>64</v>
      </c>
      <c r="B16" s="4" t="s">
        <v>65</v>
      </c>
      <c r="C16" s="3" t="s">
        <v>43</v>
      </c>
      <c r="D16" s="3" t="s">
        <v>44</v>
      </c>
      <c r="E16" s="3" t="s">
        <v>20</v>
      </c>
      <c r="F16" s="5">
        <v>20</v>
      </c>
      <c r="G16" s="3" t="s">
        <v>45</v>
      </c>
      <c r="H16" s="6">
        <v>3.1</v>
      </c>
      <c r="I16" s="3" t="s">
        <v>40</v>
      </c>
      <c r="J16" s="3" t="s">
        <v>24</v>
      </c>
      <c r="K16" s="3" t="s">
        <v>46</v>
      </c>
      <c r="L16" s="5">
        <v>30</v>
      </c>
      <c r="M16" s="5">
        <v>150</v>
      </c>
      <c r="N16" s="5">
        <v>5</v>
      </c>
      <c r="O16" s="3" t="s">
        <v>25</v>
      </c>
    </row>
    <row r="17" spans="1:15" x14ac:dyDescent="0.25">
      <c r="A17" s="3" t="s">
        <v>66</v>
      </c>
      <c r="B17" s="4" t="s">
        <v>67</v>
      </c>
      <c r="C17" s="3" t="s">
        <v>38</v>
      </c>
      <c r="D17" s="3" t="s">
        <v>19</v>
      </c>
      <c r="E17" s="3" t="s">
        <v>20</v>
      </c>
      <c r="F17" s="5">
        <v>200</v>
      </c>
      <c r="G17" s="3" t="s">
        <v>39</v>
      </c>
      <c r="H17" s="6">
        <v>0.05</v>
      </c>
      <c r="I17" s="3" t="s">
        <v>40</v>
      </c>
      <c r="J17" s="3" t="s">
        <v>24</v>
      </c>
      <c r="K17" s="3" t="s">
        <v>24</v>
      </c>
      <c r="L17" s="5">
        <v>1000</v>
      </c>
      <c r="M17" s="5">
        <v>8000</v>
      </c>
      <c r="N17" s="5">
        <v>10</v>
      </c>
      <c r="O17" s="3" t="s">
        <v>25</v>
      </c>
    </row>
    <row r="18" spans="1:15" x14ac:dyDescent="0.25">
      <c r="A18" s="3" t="s">
        <v>68</v>
      </c>
      <c r="B18" s="4" t="s">
        <v>69</v>
      </c>
      <c r="C18" s="3" t="s">
        <v>33</v>
      </c>
      <c r="D18" s="3" t="s">
        <v>19</v>
      </c>
      <c r="E18" s="3" t="s">
        <v>19</v>
      </c>
      <c r="F18" s="5">
        <v>1</v>
      </c>
      <c r="G18" s="3" t="s">
        <v>34</v>
      </c>
      <c r="H18" s="6">
        <v>1380</v>
      </c>
      <c r="I18" s="3" t="s">
        <v>22</v>
      </c>
      <c r="J18" s="3" t="s">
        <v>23</v>
      </c>
      <c r="K18" s="3" t="s">
        <v>30</v>
      </c>
      <c r="L18" s="5">
        <v>3</v>
      </c>
      <c r="M18" s="5">
        <v>15</v>
      </c>
      <c r="N18" s="5">
        <v>35</v>
      </c>
      <c r="O18" s="3" t="s">
        <v>25</v>
      </c>
    </row>
    <row r="19" spans="1:15" x14ac:dyDescent="0.25">
      <c r="A19" s="3" t="s">
        <v>70</v>
      </c>
      <c r="B19" s="4" t="s">
        <v>71</v>
      </c>
      <c r="C19" s="3" t="s">
        <v>33</v>
      </c>
      <c r="D19" s="3" t="s">
        <v>19</v>
      </c>
      <c r="E19" s="3" t="s">
        <v>20</v>
      </c>
      <c r="F19" s="5">
        <v>6</v>
      </c>
      <c r="G19" s="3" t="s">
        <v>34</v>
      </c>
      <c r="H19" s="6">
        <v>12.4</v>
      </c>
      <c r="I19" s="3" t="s">
        <v>40</v>
      </c>
      <c r="J19" s="3" t="s">
        <v>24</v>
      </c>
      <c r="K19" s="3" t="s">
        <v>24</v>
      </c>
      <c r="L19" s="5">
        <v>40</v>
      </c>
      <c r="M19" s="5">
        <v>200</v>
      </c>
      <c r="N19" s="5">
        <v>8</v>
      </c>
      <c r="O19" s="3" t="s">
        <v>25</v>
      </c>
    </row>
    <row r="20" spans="1:15" x14ac:dyDescent="0.25">
      <c r="A20" s="3" t="s">
        <v>72</v>
      </c>
      <c r="B20" s="4" t="s">
        <v>73</v>
      </c>
      <c r="C20" s="3" t="s">
        <v>28</v>
      </c>
      <c r="D20" s="3" t="s">
        <v>19</v>
      </c>
      <c r="E20" s="3" t="s">
        <v>19</v>
      </c>
      <c r="F20" s="5">
        <v>1</v>
      </c>
      <c r="G20" s="3" t="s">
        <v>29</v>
      </c>
      <c r="H20" s="6">
        <v>610</v>
      </c>
      <c r="I20" s="3" t="s">
        <v>22</v>
      </c>
      <c r="J20" s="3" t="s">
        <v>24</v>
      </c>
      <c r="K20" s="3" t="s">
        <v>30</v>
      </c>
      <c r="L20" s="5">
        <v>5</v>
      </c>
      <c r="M20" s="5">
        <v>25</v>
      </c>
      <c r="N20" s="5">
        <v>25</v>
      </c>
      <c r="O20" s="3" t="s">
        <v>25</v>
      </c>
    </row>
    <row r="21" spans="1:15" x14ac:dyDescent="0.25">
      <c r="A21" s="3" t="s">
        <v>74</v>
      </c>
      <c r="B21" s="4" t="s">
        <v>75</v>
      </c>
      <c r="C21" s="3" t="s">
        <v>43</v>
      </c>
      <c r="D21" s="3" t="s">
        <v>19</v>
      </c>
      <c r="E21" s="3" t="s">
        <v>20</v>
      </c>
      <c r="F21" s="5">
        <v>10</v>
      </c>
      <c r="G21" s="3" t="s">
        <v>34</v>
      </c>
      <c r="H21" s="6">
        <v>9.6</v>
      </c>
      <c r="I21" s="3" t="s">
        <v>40</v>
      </c>
      <c r="J21" s="3" t="s">
        <v>24</v>
      </c>
      <c r="K21" s="3" t="s">
        <v>24</v>
      </c>
      <c r="L21" s="5">
        <v>35</v>
      </c>
      <c r="M21" s="5">
        <v>180</v>
      </c>
      <c r="N21" s="5">
        <v>7</v>
      </c>
      <c r="O21" s="3" t="s">
        <v>25</v>
      </c>
    </row>
    <row r="22" spans="1:15" x14ac:dyDescent="0.25">
      <c r="A22" s="3" t="s">
        <v>76</v>
      </c>
      <c r="B22" s="4" t="s">
        <v>77</v>
      </c>
      <c r="C22" s="3" t="s">
        <v>18</v>
      </c>
      <c r="D22" s="3" t="s">
        <v>19</v>
      </c>
      <c r="E22" s="3" t="s">
        <v>20</v>
      </c>
      <c r="F22" s="5">
        <v>20</v>
      </c>
      <c r="G22" s="3" t="s">
        <v>21</v>
      </c>
      <c r="H22" s="6">
        <v>4.75</v>
      </c>
      <c r="I22" s="3" t="s">
        <v>35</v>
      </c>
      <c r="J22" s="3" t="s">
        <v>24</v>
      </c>
      <c r="K22" s="3" t="s">
        <v>24</v>
      </c>
      <c r="L22" s="5">
        <v>80</v>
      </c>
      <c r="M22" s="5">
        <v>400</v>
      </c>
      <c r="N22" s="5">
        <v>9</v>
      </c>
      <c r="O22" s="3" t="s">
        <v>25</v>
      </c>
    </row>
    <row r="23" spans="1:15" x14ac:dyDescent="0.25">
      <c r="A23" s="3" t="s">
        <v>78</v>
      </c>
      <c r="B23" s="4" t="s">
        <v>79</v>
      </c>
      <c r="C23" s="3" t="s">
        <v>60</v>
      </c>
      <c r="D23" s="3" t="s">
        <v>19</v>
      </c>
      <c r="E23" s="3" t="s">
        <v>19</v>
      </c>
      <c r="F23" s="5">
        <v>1</v>
      </c>
      <c r="G23" s="3" t="s">
        <v>61</v>
      </c>
      <c r="H23" s="6">
        <v>1120</v>
      </c>
      <c r="I23" s="3" t="s">
        <v>22</v>
      </c>
      <c r="J23" s="3" t="s">
        <v>23</v>
      </c>
      <c r="K23" s="3" t="s">
        <v>30</v>
      </c>
      <c r="L23" s="5">
        <v>2</v>
      </c>
      <c r="M23" s="5">
        <v>8</v>
      </c>
      <c r="N23" s="5">
        <v>40</v>
      </c>
      <c r="O23" s="3" t="s">
        <v>80</v>
      </c>
    </row>
    <row r="26" spans="1:15" x14ac:dyDescent="0.25">
      <c r="A26" s="7" t="s">
        <v>81</v>
      </c>
    </row>
    <row r="27" spans="1:15" x14ac:dyDescent="0.25">
      <c r="A27" s="8" t="s">
        <v>82</v>
      </c>
    </row>
    <row r="28" spans="1:15" x14ac:dyDescent="0.25">
      <c r="A28" s="8" t="s">
        <v>83</v>
      </c>
    </row>
    <row r="29" spans="1:15" x14ac:dyDescent="0.25">
      <c r="A29" s="8" t="s">
        <v>84</v>
      </c>
    </row>
    <row r="30" spans="1:15" x14ac:dyDescent="0.25">
      <c r="A30" s="8" t="s">
        <v>85</v>
      </c>
    </row>
    <row r="31" spans="1:15" x14ac:dyDescent="0.25">
      <c r="A31" s="8" t="s">
        <v>86</v>
      </c>
    </row>
  </sheetData>
  <mergeCells count="1">
    <mergeCell ref="A1:O1"/>
  </mergeCells>
  <conditionalFormatting sqref="A4:O500">
    <cfRule type="expression" dxfId="13" priority="2">
      <formula>$O4="Inactive"</formula>
    </cfRule>
    <cfRule type="expression" dxfId="12" priority="3">
      <formula>$J4="Critical Spare"</formula>
    </cfRule>
  </conditionalFormatting>
  <conditionalFormatting sqref="I4:I500">
    <cfRule type="expression" dxfId="11" priority="4">
      <formula>$I4="A"</formula>
    </cfRule>
  </conditionalFormatting>
  <dataValidations count="7">
    <dataValidation type="list" showInputMessage="1" showErrorMessage="1" errorTitle="Invalid entry" error="Please select a value from the list." promptTitle="Material Group" prompt="Select the material category." sqref="C4:C500" xr:uid="{00000000-0002-0000-0000-000000000000}">
      <formula1>"Raw Steel,Hydraulic Components,Engine Parts,Fasteners,Consumables,Finished Spares"</formula1>
      <formula2>0</formula2>
    </dataValidation>
    <dataValidation type="list" showInputMessage="1" showErrorMessage="1" errorTitle="Invalid entry" error="Please select a value from the list." promptTitle="Base UoM" prompt="Select the base unit of measure." sqref="D4:D500" xr:uid="{00000000-0002-0000-0000-000001000000}">
      <formula1>"PCS,KG,MTR,LTR,BOX"</formula1>
      <formula2>0</formula2>
    </dataValidation>
    <dataValidation type="list" showInputMessage="1" showErrorMessage="1" errorTitle="Invalid entry" error="Please select a value from the list." promptTitle="Purchase UoM" prompt="Select the purchase unit of measure." sqref="E4:E500" xr:uid="{00000000-0002-0000-0000-000002000000}">
      <formula1>"PCS,KG,MTR,LTR,BOX"</formula1>
      <formula2>0</formula2>
    </dataValidation>
    <dataValidation type="list" showInputMessage="1" showErrorMessage="1" errorTitle="Invalid entry" error="Please select a value from the list." promptTitle="ABC Classification" prompt="Select ABC class." sqref="I4:I500" xr:uid="{00000000-0002-0000-0000-000003000000}">
      <formula1>"A,B,C"</formula1>
      <formula2>0</formula2>
    </dataValidation>
    <dataValidation type="list" showInputMessage="1" showErrorMessage="1" errorTitle="Invalid entry" error="Please select a value from the list." promptTitle="Criticality Flag" prompt="Flag machine-down-risk items." sqref="J4:J500" xr:uid="{00000000-0002-0000-0000-000004000000}">
      <formula1>"Critical Spare,Standard"</formula1>
      <formula2>0</formula2>
    </dataValidation>
    <dataValidation type="list" showInputMessage="1" showErrorMessage="1" errorTitle="Invalid entry" error="Please select a value from the list." promptTitle="Storage/Handling Class" prompt="Select storage handling requirement." sqref="K4:K500" xr:uid="{00000000-0002-0000-0000-000005000000}">
      <formula1>"Standard,Heavy/Bulk,Hazardous,Fragile"</formula1>
      <formula2>0</formula2>
    </dataValidation>
    <dataValidation type="list" showInputMessage="1" showErrorMessage="1" errorTitle="Invalid entry" error="Please select a value from the list." promptTitle="Status" prompt="Select material status." sqref="O4:O500" xr:uid="{00000000-0002-0000-0000-000006000000}">
      <formula1>"Active,Inactive"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14" customWidth="1"/>
    <col min="2" max="2" width="32" customWidth="1"/>
    <col min="3" max="3" width="20" customWidth="1"/>
    <col min="4" max="5" width="14" customWidth="1"/>
    <col min="6" max="6" width="18" customWidth="1"/>
    <col min="7" max="7" width="30" customWidth="1"/>
    <col min="8" max="8" width="16" customWidth="1"/>
    <col min="9" max="9" width="14" customWidth="1"/>
    <col min="10" max="10" width="10" customWidth="1"/>
  </cols>
  <sheetData>
    <row r="1" spans="1:10" ht="24" customHeight="1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3" spans="1:10" ht="31.5" customHeight="1" x14ac:dyDescent="0.2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15</v>
      </c>
    </row>
    <row r="4" spans="1:10" x14ac:dyDescent="0.25">
      <c r="A4" s="3" t="s">
        <v>29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25</v>
      </c>
    </row>
    <row r="5" spans="1:10" x14ac:dyDescent="0.25">
      <c r="A5" s="3" t="s">
        <v>39</v>
      </c>
      <c r="B5" s="3" t="s">
        <v>105</v>
      </c>
      <c r="C5" s="3" t="s">
        <v>106</v>
      </c>
      <c r="D5" s="3" t="s">
        <v>99</v>
      </c>
      <c r="E5" s="3" t="s">
        <v>100</v>
      </c>
      <c r="F5" s="3" t="s">
        <v>107</v>
      </c>
      <c r="G5" s="3" t="s">
        <v>108</v>
      </c>
      <c r="H5" s="3" t="s">
        <v>109</v>
      </c>
      <c r="I5" s="3" t="s">
        <v>110</v>
      </c>
      <c r="J5" s="3" t="s">
        <v>25</v>
      </c>
    </row>
    <row r="6" spans="1:10" x14ac:dyDescent="0.25">
      <c r="A6" s="3" t="s">
        <v>21</v>
      </c>
      <c r="B6" s="3" t="s">
        <v>111</v>
      </c>
      <c r="C6" s="3" t="s">
        <v>98</v>
      </c>
      <c r="D6" s="3" t="s">
        <v>99</v>
      </c>
      <c r="E6" s="3" t="s">
        <v>100</v>
      </c>
      <c r="F6" s="3" t="s">
        <v>112</v>
      </c>
      <c r="G6" s="3" t="s">
        <v>113</v>
      </c>
      <c r="H6" s="3" t="s">
        <v>114</v>
      </c>
      <c r="I6" s="3" t="s">
        <v>104</v>
      </c>
      <c r="J6" s="3" t="s">
        <v>25</v>
      </c>
    </row>
    <row r="7" spans="1:10" x14ac:dyDescent="0.25">
      <c r="A7" s="3" t="s">
        <v>45</v>
      </c>
      <c r="B7" s="3" t="s">
        <v>115</v>
      </c>
      <c r="C7" s="3" t="s">
        <v>106</v>
      </c>
      <c r="D7" s="3" t="s">
        <v>99</v>
      </c>
      <c r="E7" s="3" t="s">
        <v>100</v>
      </c>
      <c r="F7" s="3" t="s">
        <v>116</v>
      </c>
      <c r="G7" s="3" t="s">
        <v>117</v>
      </c>
      <c r="H7" s="3" t="s">
        <v>118</v>
      </c>
      <c r="I7" s="3" t="s">
        <v>110</v>
      </c>
      <c r="J7" s="3" t="s">
        <v>25</v>
      </c>
    </row>
    <row r="8" spans="1:10" x14ac:dyDescent="0.25">
      <c r="A8" s="3" t="s">
        <v>34</v>
      </c>
      <c r="B8" s="3" t="s">
        <v>119</v>
      </c>
      <c r="C8" s="3" t="s">
        <v>98</v>
      </c>
      <c r="D8" s="3" t="s">
        <v>120</v>
      </c>
      <c r="E8" s="3" t="s">
        <v>121</v>
      </c>
      <c r="F8" s="3" t="s">
        <v>122</v>
      </c>
      <c r="G8" s="3" t="s">
        <v>123</v>
      </c>
      <c r="H8" s="3" t="s">
        <v>124</v>
      </c>
      <c r="I8" s="3" t="s">
        <v>104</v>
      </c>
      <c r="J8" s="3" t="s">
        <v>25</v>
      </c>
    </row>
    <row r="9" spans="1:10" x14ac:dyDescent="0.25">
      <c r="A9" s="3" t="s">
        <v>61</v>
      </c>
      <c r="B9" s="3" t="s">
        <v>125</v>
      </c>
      <c r="C9" s="3" t="s">
        <v>126</v>
      </c>
      <c r="D9" s="3" t="s">
        <v>120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104</v>
      </c>
      <c r="J9" s="3" t="s">
        <v>25</v>
      </c>
    </row>
    <row r="10" spans="1:10" x14ac:dyDescent="0.25">
      <c r="A10" s="3" t="s">
        <v>131</v>
      </c>
      <c r="B10" s="3" t="s">
        <v>132</v>
      </c>
      <c r="C10" s="3" t="s">
        <v>106</v>
      </c>
      <c r="D10" s="3" t="s">
        <v>99</v>
      </c>
      <c r="E10" s="3" t="s">
        <v>100</v>
      </c>
      <c r="F10" s="3" t="s">
        <v>133</v>
      </c>
      <c r="G10" s="3" t="s">
        <v>134</v>
      </c>
      <c r="H10" s="3" t="s">
        <v>135</v>
      </c>
      <c r="I10" s="3" t="s">
        <v>136</v>
      </c>
      <c r="J10" s="3" t="s">
        <v>25</v>
      </c>
    </row>
    <row r="11" spans="1:10" x14ac:dyDescent="0.25">
      <c r="A11" s="3" t="s">
        <v>137</v>
      </c>
      <c r="B11" s="3" t="s">
        <v>138</v>
      </c>
      <c r="C11" s="3" t="s">
        <v>98</v>
      </c>
      <c r="D11" s="3" t="s">
        <v>120</v>
      </c>
      <c r="E11" s="3" t="s">
        <v>121</v>
      </c>
      <c r="F11" s="3" t="s">
        <v>139</v>
      </c>
      <c r="G11" s="3" t="s">
        <v>140</v>
      </c>
      <c r="H11" s="3" t="s">
        <v>141</v>
      </c>
      <c r="I11" s="3" t="s">
        <v>110</v>
      </c>
      <c r="J11" s="3" t="s">
        <v>25</v>
      </c>
    </row>
    <row r="12" spans="1:10" x14ac:dyDescent="0.25">
      <c r="A12" s="3" t="s">
        <v>142</v>
      </c>
      <c r="B12" s="3" t="s">
        <v>143</v>
      </c>
      <c r="C12" s="3" t="s">
        <v>106</v>
      </c>
      <c r="D12" s="3" t="s">
        <v>99</v>
      </c>
      <c r="E12" s="3" t="s">
        <v>100</v>
      </c>
      <c r="F12" s="3" t="s">
        <v>144</v>
      </c>
      <c r="G12" s="3" t="s">
        <v>145</v>
      </c>
      <c r="H12" s="3" t="s">
        <v>146</v>
      </c>
      <c r="I12" s="3" t="s">
        <v>110</v>
      </c>
      <c r="J12" s="3" t="s">
        <v>25</v>
      </c>
    </row>
    <row r="13" spans="1:10" x14ac:dyDescent="0.25">
      <c r="A13" s="3" t="s">
        <v>147</v>
      </c>
      <c r="B13" s="3" t="s">
        <v>148</v>
      </c>
      <c r="C13" s="3" t="s">
        <v>106</v>
      </c>
      <c r="D13" s="3" t="s">
        <v>99</v>
      </c>
      <c r="E13" s="3" t="s">
        <v>100</v>
      </c>
      <c r="F13" s="3" t="s">
        <v>149</v>
      </c>
      <c r="G13" s="3" t="s">
        <v>150</v>
      </c>
      <c r="H13" s="3" t="s">
        <v>151</v>
      </c>
      <c r="I13" s="3" t="s">
        <v>136</v>
      </c>
      <c r="J13" s="3" t="s">
        <v>80</v>
      </c>
    </row>
    <row r="16" spans="1:10" x14ac:dyDescent="0.25">
      <c r="A16" s="7" t="s">
        <v>81</v>
      </c>
    </row>
    <row r="17" spans="1:1" x14ac:dyDescent="0.25">
      <c r="A17" s="8" t="s">
        <v>152</v>
      </c>
    </row>
    <row r="18" spans="1:1" x14ac:dyDescent="0.25">
      <c r="A18" s="8" t="s">
        <v>153</v>
      </c>
    </row>
    <row r="19" spans="1:1" x14ac:dyDescent="0.25">
      <c r="A19" s="8" t="s">
        <v>154</v>
      </c>
    </row>
    <row r="20" spans="1:1" x14ac:dyDescent="0.25">
      <c r="A20" s="8" t="s">
        <v>155</v>
      </c>
    </row>
    <row r="21" spans="1:1" x14ac:dyDescent="0.25">
      <c r="A21" s="8" t="s">
        <v>156</v>
      </c>
    </row>
  </sheetData>
  <mergeCells count="1">
    <mergeCell ref="A1:J1"/>
  </mergeCells>
  <conditionalFormatting sqref="A4:J500">
    <cfRule type="expression" dxfId="10" priority="2">
      <formula>$J4="Inactive"</formula>
    </cfRule>
    <cfRule type="expression" dxfId="9" priority="3">
      <formula>$I4="Preferred"</formula>
    </cfRule>
  </conditionalFormatting>
  <conditionalFormatting sqref="I4:I500">
    <cfRule type="expression" dxfId="8" priority="4">
      <formula>$I4="Under Review"</formula>
    </cfRule>
  </conditionalFormatting>
  <dataValidations count="4">
    <dataValidation type="list" showInputMessage="1" showErrorMessage="1" errorTitle="Invalid entry" error="Please select a value from the list." promptTitle="Supplier Type" prompt="Select supplier role." sqref="C4:C500" xr:uid="{00000000-0002-0000-0100-000000000000}">
      <formula1>"Manufacturer,Authorized Distributor,Local Trader"</formula1>
      <formula2>0</formula2>
    </dataValidation>
    <dataValidation type="list" showInputMessage="1" showErrorMessage="1" errorTitle="Invalid entry" error="Please select a value from the list." promptTitle="Supplier Category" prompt="Domestic or overseas." sqref="D4:D500" xr:uid="{00000000-0002-0000-0100-000001000000}">
      <formula1>"Local,Import"</formula1>
      <formula2>0</formula2>
    </dataValidation>
    <dataValidation type="list" showInputMessage="1" showErrorMessage="1" errorTitle="Invalid entry" error="Please select a value from the list." promptTitle="Supplier Rating" prompt="Reliability rating." sqref="I4:I500" xr:uid="{00000000-0002-0000-0100-000002000000}">
      <formula1>"Preferred,Approved,Under Review"</formula1>
      <formula2>0</formula2>
    </dataValidation>
    <dataValidation type="list" showInputMessage="1" showErrorMessage="1" errorTitle="Invalid entry" error="Please select a value from the list." promptTitle="Status" prompt="Supplier status." sqref="J4:J500" xr:uid="{00000000-0002-0000-0100-000003000000}">
      <formula1>"Active,Inactive"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zoomScaleNormal="100" workbookViewId="0">
      <pane ySplit="3" topLeftCell="A4" activePane="bottomLeft" state="frozen"/>
      <selection pane="bottomLeft" activeCell="C25" sqref="C25"/>
    </sheetView>
  </sheetViews>
  <sheetFormatPr defaultColWidth="8.7109375" defaultRowHeight="15" x14ac:dyDescent="0.25"/>
  <cols>
    <col min="1" max="1" width="16" customWidth="1"/>
    <col min="2" max="2" width="40" customWidth="1"/>
    <col min="3" max="3" width="20" customWidth="1"/>
    <col min="4" max="4" width="26" customWidth="1"/>
    <col min="5" max="5" width="12" customWidth="1"/>
    <col min="6" max="6" width="16" customWidth="1"/>
    <col min="7" max="7" width="10" customWidth="1"/>
  </cols>
  <sheetData>
    <row r="1" spans="1:7" ht="24" customHeight="1" x14ac:dyDescent="0.25">
      <c r="A1" s="1" t="s">
        <v>157</v>
      </c>
      <c r="B1" s="1"/>
      <c r="C1" s="1"/>
      <c r="D1" s="1"/>
      <c r="E1" s="1"/>
      <c r="F1" s="1"/>
      <c r="G1" s="1"/>
    </row>
    <row r="3" spans="1:7" ht="31.5" customHeight="1" x14ac:dyDescent="0.25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15</v>
      </c>
    </row>
    <row r="4" spans="1:7" x14ac:dyDescent="0.25">
      <c r="A4" s="3" t="s">
        <v>164</v>
      </c>
      <c r="B4" s="3" t="s">
        <v>165</v>
      </c>
      <c r="C4" s="3" t="s">
        <v>166</v>
      </c>
      <c r="D4" s="3" t="s">
        <v>24</v>
      </c>
      <c r="E4" s="3" t="s">
        <v>167</v>
      </c>
      <c r="F4" s="5">
        <v>50</v>
      </c>
      <c r="G4" s="3" t="s">
        <v>25</v>
      </c>
    </row>
    <row r="5" spans="1:7" x14ac:dyDescent="0.25">
      <c r="A5" s="3" t="s">
        <v>168</v>
      </c>
      <c r="B5" s="3" t="s">
        <v>169</v>
      </c>
      <c r="C5" s="3" t="s">
        <v>166</v>
      </c>
      <c r="D5" s="3" t="s">
        <v>30</v>
      </c>
      <c r="E5" s="3" t="s">
        <v>167</v>
      </c>
      <c r="F5" s="5">
        <v>20</v>
      </c>
      <c r="G5" s="3" t="s">
        <v>25</v>
      </c>
    </row>
    <row r="6" spans="1:7" x14ac:dyDescent="0.25">
      <c r="A6" s="3" t="s">
        <v>170</v>
      </c>
      <c r="B6" s="3" t="s">
        <v>171</v>
      </c>
      <c r="C6" s="3" t="s">
        <v>172</v>
      </c>
      <c r="D6" s="3" t="s">
        <v>30</v>
      </c>
      <c r="E6" s="3" t="s">
        <v>173</v>
      </c>
      <c r="F6" s="5">
        <v>40</v>
      </c>
      <c r="G6" s="3" t="s">
        <v>25</v>
      </c>
    </row>
    <row r="7" spans="1:7" x14ac:dyDescent="0.25">
      <c r="A7" s="3" t="s">
        <v>174</v>
      </c>
      <c r="B7" s="3" t="s">
        <v>175</v>
      </c>
      <c r="C7" s="3" t="s">
        <v>172</v>
      </c>
      <c r="D7" s="3" t="s">
        <v>30</v>
      </c>
      <c r="E7" s="3" t="s">
        <v>173</v>
      </c>
      <c r="F7" s="5">
        <v>40</v>
      </c>
      <c r="G7" s="3" t="s">
        <v>25</v>
      </c>
    </row>
    <row r="8" spans="1:7" x14ac:dyDescent="0.25">
      <c r="A8" s="3" t="s">
        <v>176</v>
      </c>
      <c r="B8" s="3" t="s">
        <v>177</v>
      </c>
      <c r="C8" s="3" t="s">
        <v>172</v>
      </c>
      <c r="D8" s="3" t="s">
        <v>24</v>
      </c>
      <c r="E8" s="3" t="s">
        <v>173</v>
      </c>
      <c r="F8" s="5">
        <v>200</v>
      </c>
      <c r="G8" s="3" t="s">
        <v>25</v>
      </c>
    </row>
    <row r="9" spans="1:7" x14ac:dyDescent="0.25">
      <c r="A9" s="3" t="s">
        <v>178</v>
      </c>
      <c r="B9" s="3" t="s">
        <v>179</v>
      </c>
      <c r="C9" s="3" t="s">
        <v>172</v>
      </c>
      <c r="D9" s="3" t="s">
        <v>24</v>
      </c>
      <c r="E9" s="3" t="s">
        <v>173</v>
      </c>
      <c r="F9" s="5">
        <v>200</v>
      </c>
      <c r="G9" s="3" t="s">
        <v>25</v>
      </c>
    </row>
    <row r="10" spans="1:7" x14ac:dyDescent="0.25">
      <c r="A10" s="3" t="s">
        <v>180</v>
      </c>
      <c r="B10" s="3" t="s">
        <v>181</v>
      </c>
      <c r="C10" s="3" t="s">
        <v>172</v>
      </c>
      <c r="D10" s="3" t="s">
        <v>24</v>
      </c>
      <c r="E10" s="3" t="s">
        <v>173</v>
      </c>
      <c r="F10" s="5">
        <v>200</v>
      </c>
      <c r="G10" s="3" t="s">
        <v>25</v>
      </c>
    </row>
    <row r="11" spans="1:7" x14ac:dyDescent="0.25">
      <c r="A11" s="3" t="s">
        <v>182</v>
      </c>
      <c r="B11" s="3" t="s">
        <v>183</v>
      </c>
      <c r="C11" s="3" t="s">
        <v>172</v>
      </c>
      <c r="D11" s="3" t="s">
        <v>46</v>
      </c>
      <c r="E11" s="3" t="s">
        <v>173</v>
      </c>
      <c r="F11" s="5">
        <v>60</v>
      </c>
      <c r="G11" s="3" t="s">
        <v>25</v>
      </c>
    </row>
    <row r="12" spans="1:7" x14ac:dyDescent="0.25">
      <c r="A12" s="3" t="s">
        <v>184</v>
      </c>
      <c r="B12" s="3" t="s">
        <v>185</v>
      </c>
      <c r="C12" s="3" t="s">
        <v>186</v>
      </c>
      <c r="D12" s="3" t="s">
        <v>24</v>
      </c>
      <c r="E12" s="3" t="s">
        <v>167</v>
      </c>
      <c r="F12" s="5">
        <v>30</v>
      </c>
      <c r="G12" s="3" t="s">
        <v>25</v>
      </c>
    </row>
    <row r="13" spans="1:7" x14ac:dyDescent="0.25">
      <c r="A13" s="3" t="s">
        <v>187</v>
      </c>
      <c r="B13" s="3" t="s">
        <v>188</v>
      </c>
      <c r="C13" s="3" t="s">
        <v>189</v>
      </c>
      <c r="D13" s="3" t="s">
        <v>24</v>
      </c>
      <c r="E13" s="3" t="s">
        <v>167</v>
      </c>
      <c r="F13" s="5">
        <v>50</v>
      </c>
      <c r="G13" s="3" t="s">
        <v>25</v>
      </c>
    </row>
    <row r="14" spans="1:7" x14ac:dyDescent="0.25">
      <c r="A14" s="3" t="s">
        <v>190</v>
      </c>
      <c r="B14" s="3" t="s">
        <v>191</v>
      </c>
      <c r="C14" s="3" t="s">
        <v>172</v>
      </c>
      <c r="D14" s="3" t="s">
        <v>24</v>
      </c>
      <c r="E14" s="3" t="s">
        <v>167</v>
      </c>
      <c r="F14" s="5">
        <v>200</v>
      </c>
      <c r="G14" s="3" t="s">
        <v>80</v>
      </c>
    </row>
    <row r="17" spans="1:1" x14ac:dyDescent="0.25">
      <c r="A17" s="7" t="s">
        <v>81</v>
      </c>
    </row>
    <row r="18" spans="1:1" x14ac:dyDescent="0.25">
      <c r="A18" s="8" t="s">
        <v>192</v>
      </c>
    </row>
    <row r="19" spans="1:1" x14ac:dyDescent="0.25">
      <c r="A19" s="8" t="s">
        <v>193</v>
      </c>
    </row>
    <row r="20" spans="1:1" x14ac:dyDescent="0.25">
      <c r="A20" s="8" t="s">
        <v>194</v>
      </c>
    </row>
    <row r="21" spans="1:1" x14ac:dyDescent="0.25">
      <c r="A21" s="8" t="s">
        <v>195</v>
      </c>
    </row>
    <row r="22" spans="1:1" x14ac:dyDescent="0.25">
      <c r="A22" s="8" t="s">
        <v>196</v>
      </c>
    </row>
    <row r="23" spans="1:1" x14ac:dyDescent="0.25">
      <c r="A23" s="8" t="s">
        <v>197</v>
      </c>
    </row>
  </sheetData>
  <mergeCells count="1">
    <mergeCell ref="A1:G1"/>
  </mergeCells>
  <conditionalFormatting sqref="A4:G500">
    <cfRule type="expression" dxfId="7" priority="2">
      <formula>$G4="Inactive"</formula>
    </cfRule>
    <cfRule type="expression" dxfId="6" priority="3">
      <formula>$D4="Hazardous"</formula>
    </cfRule>
  </conditionalFormatting>
  <conditionalFormatting sqref="E4:E500">
    <cfRule type="expression" dxfId="5" priority="4">
      <formula>$E4="No"</formula>
    </cfRule>
  </conditionalFormatting>
  <dataValidations count="4">
    <dataValidation type="list" showInputMessage="1" showErrorMessage="1" errorTitle="Invalid entry" error="Please select a value from the list." promptTitle="Zone" prompt="Functional workflow zone." sqref="C4:C500" xr:uid="{00000000-0002-0000-0200-000000000000}">
      <formula1>"Receiving,Storage,Quarantine/QC Hold,Shipping/Staging"</formula1>
      <formula2>0</formula2>
    </dataValidation>
    <dataValidation type="list" showInputMessage="1" showErrorMessage="1" errorTitle="Invalid entry" error="Please select a value from the list." promptTitle="Storage/Handling Requirement" prompt="Physical handling requirement." sqref="D4:D500" xr:uid="{00000000-0002-0000-0200-000001000000}">
      <formula1>"Standard,Heavy/Bulk,Hazardous,Fragile"</formula1>
      <formula2>0</formula2>
    </dataValidation>
    <dataValidation type="list" showInputMessage="1" showErrorMessage="1" errorTitle="Invalid entry" error="Please select a value from the list." promptTitle="Pickable Flag" prompt="Usable as picking source?" sqref="E4:E500" xr:uid="{00000000-0002-0000-0200-000002000000}">
      <formula1>"Yes,No"</formula1>
      <formula2>0</formula2>
    </dataValidation>
    <dataValidation type="list" showInputMessage="1" showErrorMessage="1" errorTitle="Invalid entry" error="Please select a value from the list." promptTitle="Status" prompt="Location status." sqref="G4:G500" xr:uid="{00000000-0002-0000-0200-000003000000}">
      <formula1>"Active,Inactive"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showGridLines="0" tabSelected="1" zoomScaleNormal="100" workbookViewId="0">
      <pane ySplit="3" topLeftCell="A4" activePane="bottomLeft" state="frozen"/>
      <selection pane="bottomLeft" activeCell="M20" sqref="M20"/>
    </sheetView>
  </sheetViews>
  <sheetFormatPr defaultColWidth="8.7109375" defaultRowHeight="15" x14ac:dyDescent="0.25"/>
  <cols>
    <col min="1" max="1" width="14" customWidth="1"/>
    <col min="2" max="2" width="8" customWidth="1"/>
    <col min="3" max="4" width="12" customWidth="1"/>
    <col min="5" max="5" width="28" customWidth="1"/>
    <col min="6" max="6" width="12" customWidth="1"/>
    <col min="7" max="7" width="30" customWidth="1"/>
    <col min="8" max="10" width="12" customWidth="1"/>
    <col min="11" max="11" width="14" customWidth="1"/>
    <col min="12" max="12" width="10" customWidth="1"/>
    <col min="13" max="13" width="16" customWidth="1"/>
    <col min="14" max="16" width="12" customWidth="1"/>
    <col min="17" max="17" width="10" customWidth="1"/>
    <col min="18" max="19" width="16" customWidth="1"/>
    <col min="20" max="20" width="26" customWidth="1"/>
  </cols>
  <sheetData>
    <row r="1" spans="1:20" ht="24" customHeight="1" x14ac:dyDescent="0.25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ht="31.5" customHeight="1" x14ac:dyDescent="0.25">
      <c r="A3" s="2" t="s">
        <v>199</v>
      </c>
      <c r="B3" s="2" t="s">
        <v>200</v>
      </c>
      <c r="C3" s="2" t="s">
        <v>201</v>
      </c>
      <c r="D3" s="2" t="s">
        <v>88</v>
      </c>
      <c r="E3" s="2" t="s">
        <v>89</v>
      </c>
      <c r="F3" s="2" t="s">
        <v>1</v>
      </c>
      <c r="G3" s="2" t="s">
        <v>2</v>
      </c>
      <c r="H3" s="2" t="s">
        <v>5</v>
      </c>
      <c r="I3" s="2" t="s">
        <v>202</v>
      </c>
      <c r="J3" s="2" t="s">
        <v>203</v>
      </c>
      <c r="K3" s="2" t="s">
        <v>204</v>
      </c>
      <c r="L3" s="2" t="s">
        <v>205</v>
      </c>
      <c r="M3" s="2" t="s">
        <v>206</v>
      </c>
      <c r="N3" s="2" t="s">
        <v>207</v>
      </c>
      <c r="O3" s="2" t="s">
        <v>208</v>
      </c>
      <c r="P3" s="2" t="s">
        <v>209</v>
      </c>
      <c r="Q3" s="2" t="s">
        <v>210</v>
      </c>
      <c r="R3" s="2" t="s">
        <v>211</v>
      </c>
      <c r="S3" s="2" t="s">
        <v>212</v>
      </c>
      <c r="T3" s="2" t="s">
        <v>213</v>
      </c>
    </row>
    <row r="4" spans="1:20" x14ac:dyDescent="0.25">
      <c r="A4" s="9" t="s">
        <v>214</v>
      </c>
      <c r="B4" s="10">
        <v>10</v>
      </c>
      <c r="C4" s="11" t="s">
        <v>215</v>
      </c>
      <c r="D4" s="9" t="s">
        <v>21</v>
      </c>
      <c r="E4" s="12" t="str">
        <f>INDEX('02_Master_Supplier'!$B:$B,MATCH(D4,'02_Master_Supplier'!$A:$A,0))</f>
        <v>Komatsu Parts Indonesia</v>
      </c>
      <c r="F4" s="9" t="s">
        <v>16</v>
      </c>
      <c r="G4" s="12" t="str">
        <f>INDEX('01_Master_Material'!$B:$B,MATCH(F4,'01_Master_Material'!$A:$A,0))</f>
        <v>Hydraulic Cylinder Seal Kit 80mm</v>
      </c>
      <c r="H4" s="13" t="str">
        <f>INDEX('01_Master_Material'!$E:$E,MATCH(F4,'01_Master_Material'!$A:$A,0))</f>
        <v>BOX</v>
      </c>
      <c r="I4" s="14">
        <v>5</v>
      </c>
      <c r="J4" s="15">
        <v>1500</v>
      </c>
      <c r="K4" s="16">
        <f t="shared" ref="K4:K13" si="0">I4*J4</f>
        <v>7500</v>
      </c>
      <c r="L4" s="17">
        <f>INDEX('01_Master_Material'!$F:$F,MATCH(F4,'01_Master_Material'!$A:$A,0))</f>
        <v>10</v>
      </c>
      <c r="M4" s="16">
        <f>INDEX('01_Master_Material'!$H:$H,MATCH(F4,'01_Master_Material'!$A:$A,0))*L4</f>
        <v>1455</v>
      </c>
      <c r="N4" s="18">
        <f t="shared" ref="N4:N13" si="1">J4-M4</f>
        <v>45</v>
      </c>
      <c r="O4" s="19">
        <f t="shared" ref="O4:O13" si="2">IFERROR(N4/M4,0)</f>
        <v>3.0927835051546393E-2</v>
      </c>
      <c r="P4" s="20" t="s">
        <v>24</v>
      </c>
      <c r="Q4" s="17">
        <f>INDEX('01_Master_Material'!$N:$N,MATCH(F4,'01_Master_Material'!$A:$A,0))</f>
        <v>14</v>
      </c>
      <c r="R4" s="21">
        <f t="shared" ref="R4:R13" si="3">C4+Q4</f>
        <v>46188</v>
      </c>
      <c r="S4" s="20" t="s">
        <v>216</v>
      </c>
      <c r="T4" s="9"/>
    </row>
    <row r="5" spans="1:20" x14ac:dyDescent="0.25">
      <c r="A5" s="9" t="s">
        <v>214</v>
      </c>
      <c r="B5" s="10">
        <v>20</v>
      </c>
      <c r="C5" s="11" t="s">
        <v>215</v>
      </c>
      <c r="D5" s="9" t="s">
        <v>21</v>
      </c>
      <c r="E5" s="12" t="str">
        <f>INDEX('02_Master_Supplier'!$B:$B,MATCH(D5,'02_Master_Supplier'!$A:$A,0))</f>
        <v>Komatsu Parts Indonesia</v>
      </c>
      <c r="F5" s="9" t="s">
        <v>51</v>
      </c>
      <c r="G5" s="12" t="str">
        <f>INDEX('01_Master_Material'!$B:$B,MATCH(F5,'01_Master_Material'!$A:$A,0))</f>
        <v>Hydraulic Hose 1/2in x 3m</v>
      </c>
      <c r="H5" s="13" t="str">
        <f>INDEX('01_Master_Material'!$E:$E,MATCH(F5,'01_Master_Material'!$A:$A,0))</f>
        <v>PCS</v>
      </c>
      <c r="I5" s="14">
        <v>30</v>
      </c>
      <c r="J5" s="15">
        <v>52</v>
      </c>
      <c r="K5" s="16">
        <f t="shared" si="0"/>
        <v>1560</v>
      </c>
      <c r="L5" s="17">
        <f>INDEX('01_Master_Material'!$F:$F,MATCH(F5,'01_Master_Material'!$A:$A,0))</f>
        <v>1</v>
      </c>
      <c r="M5" s="16">
        <f>INDEX('01_Master_Material'!$H:$H,MATCH(F5,'01_Master_Material'!$A:$A,0))*L5</f>
        <v>54.9</v>
      </c>
      <c r="N5" s="18">
        <f t="shared" si="1"/>
        <v>-2.8999999999999986</v>
      </c>
      <c r="O5" s="19">
        <f t="shared" si="2"/>
        <v>-5.2823315118397059E-2</v>
      </c>
      <c r="P5" s="20" t="s">
        <v>24</v>
      </c>
      <c r="Q5" s="17">
        <f>INDEX('01_Master_Material'!$N:$N,MATCH(F5,'01_Master_Material'!$A:$A,0))</f>
        <v>12</v>
      </c>
      <c r="R5" s="21">
        <f t="shared" si="3"/>
        <v>46186</v>
      </c>
      <c r="S5" s="20" t="s">
        <v>216</v>
      </c>
      <c r="T5" s="9"/>
    </row>
    <row r="6" spans="1:20" x14ac:dyDescent="0.25">
      <c r="A6" s="9" t="s">
        <v>217</v>
      </c>
      <c r="B6" s="10">
        <v>10</v>
      </c>
      <c r="C6" s="11" t="s">
        <v>218</v>
      </c>
      <c r="D6" s="9" t="s">
        <v>34</v>
      </c>
      <c r="E6" s="12" t="str">
        <f>INDEX('02_Master_Supplier'!$B:$B,MATCH(D6,'02_Master_Supplier'!$A:$A,0))</f>
        <v>Caterpillar Engine Parts Distributor</v>
      </c>
      <c r="F6" s="9" t="s">
        <v>68</v>
      </c>
      <c r="G6" s="12" t="str">
        <f>INDEX('01_Master_Material'!$B:$B,MATCH(F6,'01_Master_Material'!$A:$A,0))</f>
        <v>Turbocharger Assembly (Cat C15)</v>
      </c>
      <c r="H6" s="13" t="str">
        <f>INDEX('01_Master_Material'!$E:$E,MATCH(F6,'01_Master_Material'!$A:$A,0))</f>
        <v>PCS</v>
      </c>
      <c r="I6" s="14">
        <v>2</v>
      </c>
      <c r="J6" s="15">
        <v>1450</v>
      </c>
      <c r="K6" s="16">
        <f t="shared" si="0"/>
        <v>2900</v>
      </c>
      <c r="L6" s="17">
        <f>INDEX('01_Master_Material'!$F:$F,MATCH(F6,'01_Master_Material'!$A:$A,0))</f>
        <v>1</v>
      </c>
      <c r="M6" s="16">
        <f>INDEX('01_Master_Material'!$H:$H,MATCH(F6,'01_Master_Material'!$A:$A,0))*L6</f>
        <v>1380</v>
      </c>
      <c r="N6" s="18">
        <f t="shared" si="1"/>
        <v>70</v>
      </c>
      <c r="O6" s="19">
        <f t="shared" si="2"/>
        <v>5.0724637681159424E-2</v>
      </c>
      <c r="P6" s="20" t="s">
        <v>219</v>
      </c>
      <c r="Q6" s="17">
        <f>INDEX('01_Master_Material'!$N:$N,MATCH(F6,'01_Master_Material'!$A:$A,0))</f>
        <v>35</v>
      </c>
      <c r="R6" s="21">
        <f t="shared" si="3"/>
        <v>46213</v>
      </c>
      <c r="S6" s="20" t="s">
        <v>220</v>
      </c>
      <c r="T6" s="9" t="s">
        <v>221</v>
      </c>
    </row>
    <row r="7" spans="1:20" x14ac:dyDescent="0.25">
      <c r="A7" s="9" t="s">
        <v>217</v>
      </c>
      <c r="B7" s="10">
        <v>20</v>
      </c>
      <c r="C7" s="11" t="s">
        <v>218</v>
      </c>
      <c r="D7" s="9" t="s">
        <v>34</v>
      </c>
      <c r="E7" s="12" t="str">
        <f>INDEX('02_Master_Supplier'!$B:$B,MATCH(D7,'02_Master_Supplier'!$A:$A,0))</f>
        <v>Caterpillar Engine Parts Distributor</v>
      </c>
      <c r="F7" s="9" t="s">
        <v>31</v>
      </c>
      <c r="G7" s="12" t="str">
        <f>INDEX('01_Master_Material'!$B:$B,MATCH(F7,'01_Master_Material'!$A:$A,0))</f>
        <v>Engine Oil Filter (Cat 320D)</v>
      </c>
      <c r="H7" s="13" t="str">
        <f>INDEX('01_Master_Material'!$E:$E,MATCH(F7,'01_Master_Material'!$A:$A,0))</f>
        <v>BOX</v>
      </c>
      <c r="I7" s="14">
        <v>10</v>
      </c>
      <c r="J7" s="15">
        <v>430</v>
      </c>
      <c r="K7" s="16">
        <f t="shared" si="0"/>
        <v>4300</v>
      </c>
      <c r="L7" s="17">
        <f>INDEX('01_Master_Material'!$F:$F,MATCH(F7,'01_Master_Material'!$A:$A,0))</f>
        <v>24</v>
      </c>
      <c r="M7" s="16">
        <f>INDEX('01_Master_Material'!$H:$H,MATCH(F7,'01_Master_Material'!$A:$A,0))*L7</f>
        <v>450</v>
      </c>
      <c r="N7" s="18">
        <f t="shared" si="1"/>
        <v>-20</v>
      </c>
      <c r="O7" s="19">
        <f t="shared" si="2"/>
        <v>-4.4444444444444446E-2</v>
      </c>
      <c r="P7" s="20" t="s">
        <v>24</v>
      </c>
      <c r="Q7" s="17">
        <f>INDEX('01_Master_Material'!$N:$N,MATCH(F7,'01_Master_Material'!$A:$A,0))</f>
        <v>7</v>
      </c>
      <c r="R7" s="21">
        <f t="shared" si="3"/>
        <v>46185</v>
      </c>
      <c r="S7" s="20" t="s">
        <v>222</v>
      </c>
      <c r="T7" s="9"/>
    </row>
    <row r="8" spans="1:20" x14ac:dyDescent="0.25">
      <c r="A8" s="9" t="s">
        <v>223</v>
      </c>
      <c r="B8" s="10">
        <v>10</v>
      </c>
      <c r="C8" s="11" t="s">
        <v>224</v>
      </c>
      <c r="D8" s="9" t="s">
        <v>29</v>
      </c>
      <c r="E8" s="12" t="str">
        <f>INDEX('02_Master_Supplier'!$B:$B,MATCH(D8,'02_Master_Supplier'!$A:$A,0))</f>
        <v>PT Krakatau Steel Distribusi</v>
      </c>
      <c r="F8" s="9" t="s">
        <v>26</v>
      </c>
      <c r="G8" s="12" t="str">
        <f>INDEX('01_Master_Material'!$B:$B,MATCH(F8,'01_Master_Material'!$A:$A,0))</f>
        <v>Steel Plate 10mm x 2m x 1m</v>
      </c>
      <c r="H8" s="13" t="str">
        <f>INDEX('01_Master_Material'!$E:$E,MATCH(F8,'01_Master_Material'!$A:$A,0))</f>
        <v>PCS</v>
      </c>
      <c r="I8" s="14">
        <v>15</v>
      </c>
      <c r="J8" s="15">
        <v>315</v>
      </c>
      <c r="K8" s="16">
        <f t="shared" si="0"/>
        <v>4725</v>
      </c>
      <c r="L8" s="17">
        <f>INDEX('01_Master_Material'!$F:$F,MATCH(F8,'01_Master_Material'!$A:$A,0))</f>
        <v>1</v>
      </c>
      <c r="M8" s="16">
        <f>INDEX('01_Master_Material'!$H:$H,MATCH(F8,'01_Master_Material'!$A:$A,0))*L8</f>
        <v>320</v>
      </c>
      <c r="N8" s="18">
        <f t="shared" si="1"/>
        <v>-5</v>
      </c>
      <c r="O8" s="19">
        <f t="shared" si="2"/>
        <v>-1.5625E-2</v>
      </c>
      <c r="P8" s="20" t="s">
        <v>24</v>
      </c>
      <c r="Q8" s="17">
        <f>INDEX('01_Master_Material'!$N:$N,MATCH(F8,'01_Master_Material'!$A:$A,0))</f>
        <v>21</v>
      </c>
      <c r="R8" s="21">
        <f t="shared" si="3"/>
        <v>46204</v>
      </c>
      <c r="S8" s="20" t="s">
        <v>220</v>
      </c>
      <c r="T8" s="9"/>
    </row>
    <row r="9" spans="1:20" x14ac:dyDescent="0.25">
      <c r="A9" s="9" t="s">
        <v>223</v>
      </c>
      <c r="B9" s="10">
        <v>20</v>
      </c>
      <c r="C9" s="11" t="s">
        <v>224</v>
      </c>
      <c r="D9" s="9" t="s">
        <v>29</v>
      </c>
      <c r="E9" s="12" t="str">
        <f>INDEX('02_Master_Supplier'!$B:$B,MATCH(D9,'02_Master_Supplier'!$A:$A,0))</f>
        <v>PT Krakatau Steel Distribusi</v>
      </c>
      <c r="F9" s="9" t="s">
        <v>72</v>
      </c>
      <c r="G9" s="12" t="str">
        <f>INDEX('01_Master_Material'!$B:$B,MATCH(F9,'01_Master_Material'!$A:$A,0))</f>
        <v>Steel I-Beam 6m Length</v>
      </c>
      <c r="H9" s="13" t="str">
        <f>INDEX('01_Master_Material'!$E:$E,MATCH(F9,'01_Master_Material'!$A:$A,0))</f>
        <v>PCS</v>
      </c>
      <c r="I9" s="14">
        <v>8</v>
      </c>
      <c r="J9" s="15">
        <v>625</v>
      </c>
      <c r="K9" s="16">
        <f t="shared" si="0"/>
        <v>5000</v>
      </c>
      <c r="L9" s="17">
        <f>INDEX('01_Master_Material'!$F:$F,MATCH(F9,'01_Master_Material'!$A:$A,0))</f>
        <v>1</v>
      </c>
      <c r="M9" s="16">
        <f>INDEX('01_Master_Material'!$H:$H,MATCH(F9,'01_Master_Material'!$A:$A,0))*L9</f>
        <v>610</v>
      </c>
      <c r="N9" s="18">
        <f t="shared" si="1"/>
        <v>15</v>
      </c>
      <c r="O9" s="19">
        <f t="shared" si="2"/>
        <v>2.4590163934426229E-2</v>
      </c>
      <c r="P9" s="20" t="s">
        <v>24</v>
      </c>
      <c r="Q9" s="17">
        <f>INDEX('01_Master_Material'!$N:$N,MATCH(F9,'01_Master_Material'!$A:$A,0))</f>
        <v>25</v>
      </c>
      <c r="R9" s="21">
        <f t="shared" si="3"/>
        <v>46208</v>
      </c>
      <c r="S9" s="20" t="s">
        <v>225</v>
      </c>
      <c r="T9" s="9" t="s">
        <v>226</v>
      </c>
    </row>
    <row r="10" spans="1:20" x14ac:dyDescent="0.25">
      <c r="A10" s="9" t="s">
        <v>227</v>
      </c>
      <c r="B10" s="10">
        <v>10</v>
      </c>
      <c r="C10" s="11" t="s">
        <v>228</v>
      </c>
      <c r="D10" s="9" t="s">
        <v>61</v>
      </c>
      <c r="E10" s="12" t="str">
        <f>INDEX('02_Master_Supplier'!$B:$B,MATCH(D10,'02_Master_Supplier'!$A:$A,0))</f>
        <v>Original Equipment Spares Corp</v>
      </c>
      <c r="F10" s="9" t="s">
        <v>58</v>
      </c>
      <c r="G10" s="12" t="str">
        <f>INDEX('01_Master_Material'!$B:$B,MATCH(F10,'01_Master_Material'!$A:$A,0))</f>
        <v>Final Drive Motor (Excavator PC200)</v>
      </c>
      <c r="H10" s="13" t="str">
        <f>INDEX('01_Master_Material'!$E:$E,MATCH(F10,'01_Master_Material'!$A:$A,0))</f>
        <v>PCS</v>
      </c>
      <c r="I10" s="14">
        <v>1</v>
      </c>
      <c r="J10" s="15">
        <v>2500</v>
      </c>
      <c r="K10" s="16">
        <f t="shared" si="0"/>
        <v>2500</v>
      </c>
      <c r="L10" s="17">
        <f>INDEX('01_Master_Material'!$F:$F,MATCH(F10,'01_Master_Material'!$A:$A,0))</f>
        <v>1</v>
      </c>
      <c r="M10" s="16">
        <f>INDEX('01_Master_Material'!$H:$H,MATCH(F10,'01_Master_Material'!$A:$A,0))*L10</f>
        <v>2450</v>
      </c>
      <c r="N10" s="18">
        <f t="shared" si="1"/>
        <v>50</v>
      </c>
      <c r="O10" s="19">
        <f t="shared" si="2"/>
        <v>2.0408163265306121E-2</v>
      </c>
      <c r="P10" s="20" t="s">
        <v>219</v>
      </c>
      <c r="Q10" s="17">
        <f>INDEX('01_Master_Material'!$N:$N,MATCH(F10,'01_Master_Material'!$A:$A,0))</f>
        <v>45</v>
      </c>
      <c r="R10" s="21">
        <f t="shared" si="3"/>
        <v>46230</v>
      </c>
      <c r="S10" s="20" t="s">
        <v>220</v>
      </c>
      <c r="T10" s="9" t="s">
        <v>229</v>
      </c>
    </row>
    <row r="11" spans="1:20" x14ac:dyDescent="0.25">
      <c r="A11" s="9" t="s">
        <v>227</v>
      </c>
      <c r="B11" s="10">
        <v>20</v>
      </c>
      <c r="C11" s="11" t="s">
        <v>228</v>
      </c>
      <c r="D11" s="9" t="s">
        <v>61</v>
      </c>
      <c r="E11" s="12" t="str">
        <f>INDEX('02_Master_Supplier'!$B:$B,MATCH(D11,'02_Master_Supplier'!$A:$A,0))</f>
        <v>Original Equipment Spares Corp</v>
      </c>
      <c r="F11" s="9" t="s">
        <v>78</v>
      </c>
      <c r="G11" s="12" t="str">
        <f>INDEX('01_Master_Material'!$B:$B,MATCH(F11,'01_Master_Material'!$A:$A,0))</f>
        <v>Undercarriage Chain Link Assembly</v>
      </c>
      <c r="H11" s="13" t="str">
        <f>INDEX('01_Master_Material'!$E:$E,MATCH(F11,'01_Master_Material'!$A:$A,0))</f>
        <v>PCS</v>
      </c>
      <c r="I11" s="14">
        <v>2</v>
      </c>
      <c r="J11" s="15">
        <v>1100</v>
      </c>
      <c r="K11" s="16">
        <f t="shared" si="0"/>
        <v>2200</v>
      </c>
      <c r="L11" s="17">
        <f>INDEX('01_Master_Material'!$F:$F,MATCH(F11,'01_Master_Material'!$A:$A,0))</f>
        <v>1</v>
      </c>
      <c r="M11" s="16">
        <f>INDEX('01_Master_Material'!$H:$H,MATCH(F11,'01_Master_Material'!$A:$A,0))*L11</f>
        <v>1120</v>
      </c>
      <c r="N11" s="18">
        <f t="shared" si="1"/>
        <v>-20</v>
      </c>
      <c r="O11" s="19">
        <f t="shared" si="2"/>
        <v>-1.7857142857142856E-2</v>
      </c>
      <c r="P11" s="20" t="s">
        <v>24</v>
      </c>
      <c r="Q11" s="17">
        <f>INDEX('01_Master_Material'!$N:$N,MATCH(F11,'01_Master_Material'!$A:$A,0))</f>
        <v>40</v>
      </c>
      <c r="R11" s="21">
        <f t="shared" si="3"/>
        <v>46225</v>
      </c>
      <c r="S11" s="20" t="s">
        <v>220</v>
      </c>
      <c r="T11" s="9"/>
    </row>
    <row r="12" spans="1:20" x14ac:dyDescent="0.25">
      <c r="A12" s="9" t="s">
        <v>230</v>
      </c>
      <c r="B12" s="10">
        <v>10</v>
      </c>
      <c r="C12" s="11" t="s">
        <v>231</v>
      </c>
      <c r="D12" s="9" t="s">
        <v>39</v>
      </c>
      <c r="E12" s="12" t="str">
        <f>INDEX('02_Master_Supplier'!$B:$B,MATCH(D12,'02_Master_Supplier'!$A:$A,0))</f>
        <v>PT Fastener Nusantara</v>
      </c>
      <c r="F12" s="9" t="s">
        <v>36</v>
      </c>
      <c r="G12" s="12" t="str">
        <f>INDEX('01_Master_Material'!$B:$B,MATCH(F12,'01_Master_Material'!$A:$A,0))</f>
        <v>Hex Bolt M12x50 Grade 8.8</v>
      </c>
      <c r="H12" s="13" t="str">
        <f>INDEX('01_Master_Material'!$E:$E,MATCH(F12,'01_Master_Material'!$A:$A,0))</f>
        <v>BOX</v>
      </c>
      <c r="I12" s="14">
        <v>50</v>
      </c>
      <c r="J12" s="15">
        <v>33.5</v>
      </c>
      <c r="K12" s="16">
        <f t="shared" si="0"/>
        <v>1675</v>
      </c>
      <c r="L12" s="17">
        <f>INDEX('01_Master_Material'!$F:$F,MATCH(F12,'01_Master_Material'!$A:$A,0))</f>
        <v>100</v>
      </c>
      <c r="M12" s="16">
        <f>INDEX('01_Master_Material'!$H:$H,MATCH(F12,'01_Master_Material'!$A:$A,0))*L12</f>
        <v>35</v>
      </c>
      <c r="N12" s="18">
        <f t="shared" si="1"/>
        <v>-1.5</v>
      </c>
      <c r="O12" s="19">
        <f t="shared" si="2"/>
        <v>-4.2857142857142858E-2</v>
      </c>
      <c r="P12" s="20" t="s">
        <v>24</v>
      </c>
      <c r="Q12" s="17">
        <f>INDEX('01_Master_Material'!$N:$N,MATCH(F12,'01_Master_Material'!$A:$A,0))</f>
        <v>10</v>
      </c>
      <c r="R12" s="21">
        <f t="shared" si="3"/>
        <v>46198</v>
      </c>
      <c r="S12" s="20" t="s">
        <v>216</v>
      </c>
      <c r="T12" s="9"/>
    </row>
    <row r="13" spans="1:20" x14ac:dyDescent="0.25">
      <c r="A13" s="9" t="s">
        <v>230</v>
      </c>
      <c r="B13" s="10">
        <v>20</v>
      </c>
      <c r="C13" s="11" t="s">
        <v>231</v>
      </c>
      <c r="D13" s="9" t="s">
        <v>39</v>
      </c>
      <c r="E13" s="12" t="str">
        <f>INDEX('02_Master_Supplier'!$B:$B,MATCH(D13,'02_Master_Supplier'!$A:$A,0))</f>
        <v>PT Fastener Nusantara</v>
      </c>
      <c r="F13" s="9" t="s">
        <v>66</v>
      </c>
      <c r="G13" s="12" t="str">
        <f>INDEX('01_Master_Material'!$B:$B,MATCH(F13,'01_Master_Material'!$A:$A,0))</f>
        <v>Flat Washer M12 Zinc Plated</v>
      </c>
      <c r="H13" s="13" t="str">
        <f>INDEX('01_Master_Material'!$E:$E,MATCH(F13,'01_Master_Material'!$A:$A,0))</f>
        <v>BOX</v>
      </c>
      <c r="I13" s="14">
        <v>40</v>
      </c>
      <c r="J13" s="15">
        <v>9.8000000000000007</v>
      </c>
      <c r="K13" s="16">
        <f t="shared" si="0"/>
        <v>392</v>
      </c>
      <c r="L13" s="17">
        <f>INDEX('01_Master_Material'!$F:$F,MATCH(F13,'01_Master_Material'!$A:$A,0))</f>
        <v>200</v>
      </c>
      <c r="M13" s="16">
        <f>INDEX('01_Master_Material'!$H:$H,MATCH(F13,'01_Master_Material'!$A:$A,0))*L13</f>
        <v>10</v>
      </c>
      <c r="N13" s="18">
        <f t="shared" si="1"/>
        <v>-0.19999999999999929</v>
      </c>
      <c r="O13" s="19">
        <f t="shared" si="2"/>
        <v>-1.9999999999999928E-2</v>
      </c>
      <c r="P13" s="20" t="s">
        <v>24</v>
      </c>
      <c r="Q13" s="17">
        <f>INDEX('01_Master_Material'!$N:$N,MATCH(F13,'01_Master_Material'!$A:$A,0))</f>
        <v>10</v>
      </c>
      <c r="R13" s="21">
        <f t="shared" si="3"/>
        <v>46198</v>
      </c>
      <c r="S13" s="20" t="s">
        <v>216</v>
      </c>
      <c r="T13" s="9"/>
    </row>
    <row r="16" spans="1:20" x14ac:dyDescent="0.25">
      <c r="A16" s="7" t="s">
        <v>81</v>
      </c>
    </row>
    <row r="17" spans="1:1" x14ac:dyDescent="0.25">
      <c r="A17" s="8" t="s">
        <v>232</v>
      </c>
    </row>
    <row r="18" spans="1:1" x14ac:dyDescent="0.25">
      <c r="A18" s="8" t="s">
        <v>233</v>
      </c>
    </row>
    <row r="19" spans="1:1" x14ac:dyDescent="0.25">
      <c r="A19" s="8" t="s">
        <v>234</v>
      </c>
    </row>
    <row r="20" spans="1:1" x14ac:dyDescent="0.25">
      <c r="A20" s="8" t="s">
        <v>235</v>
      </c>
    </row>
    <row r="21" spans="1:1" x14ac:dyDescent="0.25">
      <c r="A21" s="8" t="s">
        <v>236</v>
      </c>
    </row>
    <row r="22" spans="1:1" x14ac:dyDescent="0.25">
      <c r="A22" s="8" t="s">
        <v>237</v>
      </c>
    </row>
    <row r="23" spans="1:1" x14ac:dyDescent="0.25">
      <c r="A23" s="8" t="s">
        <v>238</v>
      </c>
    </row>
  </sheetData>
  <mergeCells count="1">
    <mergeCell ref="A1:T1"/>
  </mergeCells>
  <conditionalFormatting sqref="N4:N500">
    <cfRule type="expression" dxfId="4" priority="5">
      <formula>$N4&gt;0</formula>
    </cfRule>
    <cfRule type="expression" dxfId="3" priority="6">
      <formula>$N4&lt;0</formula>
    </cfRule>
  </conditionalFormatting>
  <conditionalFormatting sqref="P4:P500">
    <cfRule type="expression" dxfId="2" priority="2">
      <formula>$P4="Urgent"</formula>
    </cfRule>
  </conditionalFormatting>
  <conditionalFormatting sqref="S4:S500">
    <cfRule type="expression" dxfId="1" priority="3">
      <formula>$S4="Cancelled"</formula>
    </cfRule>
    <cfRule type="expression" dxfId="0" priority="4">
      <formula>$S4="Closed"</formula>
    </cfRule>
  </conditionalFormatting>
  <dataValidations count="2">
    <dataValidation type="list" showInputMessage="1" showErrorMessage="1" errorTitle="Invalid entry" error="Please select a value from the list." promptTitle="Order Priority" prompt="Standard or Urgent (emergency) order." sqref="P4:P500" xr:uid="{00000000-0002-0000-0300-000002000000}">
      <formula1>"Standard,Urgent"</formula1>
      <formula2>0</formula2>
    </dataValidation>
    <dataValidation type="list" showInputMessage="1" showErrorMessage="1" errorTitle="Invalid entry" error="Please select a value from the list." promptTitle="PO Status" prompt="Current status of this PO line." sqref="S4:S500" xr:uid="{00000000-0002-0000-0300-000003000000}">
      <formula1>"Open,Partially Received,Closed,Cancelled"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valid entry" error="Please select a value from the list." promptTitle="Material Code" prompt="Select a valid material code from the master." xr:uid="{00000000-0002-0000-0300-000000000000}">
          <x14:formula1>
            <xm:f>'01_Master_Material'!$A$4:$A$23</xm:f>
          </x14:formula1>
          <x14:formula2>
            <xm:f>0</xm:f>
          </x14:formula2>
          <xm:sqref>F4:F500</xm:sqref>
        </x14:dataValidation>
        <x14:dataValidation type="list" showInputMessage="1" showErrorMessage="1" errorTitle="Invalid entry" error="Please select a value from the list." promptTitle="Supplier Code" prompt="Select a valid supplier code from the master." xr:uid="{00000000-0002-0000-0300-000001000000}">
          <x14:formula1>
            <xm:f>'02_Master_Supplier'!$A$4:$A$13</xm:f>
          </x14:formula1>
          <x14:formula2>
            <xm:f>0</xm:f>
          </x14:formula2>
          <xm:sqref>D4:D500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01_Master_Material</vt:lpstr>
      <vt:lpstr>02_Master_Supplier</vt:lpstr>
      <vt:lpstr>03_Master_Location</vt:lpstr>
      <vt:lpstr>04_Purchase_Order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Fikri F</cp:lastModifiedBy>
  <cp:revision>0</cp:revision>
  <dcterms:created xsi:type="dcterms:W3CDTF">2026-07-23T07:38:33Z</dcterms:created>
  <dcterms:modified xsi:type="dcterms:W3CDTF">2026-07-23T09:15:37Z</dcterms:modified>
  <dc:language>en-US</dc:language>
</cp:coreProperties>
</file>